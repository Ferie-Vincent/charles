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ode_emploi" sheetId="2" state="visible" r:id="rId2"/>
    <sheet xmlns:r="http://schemas.openxmlformats.org/officeDocument/2006/relationships" name="Identification" sheetId="3" state="visible" r:id="rId3"/>
    <sheet xmlns:r="http://schemas.openxmlformats.org/officeDocument/2006/relationships" name="Acteurs" sheetId="4" state="visible" r:id="rId4"/>
    <sheet xmlns:r="http://schemas.openxmlformats.org/officeDocument/2006/relationships" name="Journal" sheetId="5" state="visible" r:id="rId5"/>
    <sheet xmlns:r="http://schemas.openxmlformats.org/officeDocument/2006/relationships" name="Materiaux" sheetId="6" state="visible" r:id="rId6"/>
    <sheet xmlns:r="http://schemas.openxmlformats.org/officeDocument/2006/relationships" name="Finances" sheetId="7" state="visible" r:id="rId7"/>
    <sheet xmlns:r="http://schemas.openxmlformats.org/officeDocument/2006/relationships" name="Equipements" sheetId="8" state="visible" r:id="rId8"/>
    <sheet xmlns:r="http://schemas.openxmlformats.org/officeDocument/2006/relationships" name="Incidents" sheetId="9" state="visible" r:id="rId9"/>
    <sheet xmlns:r="http://schemas.openxmlformats.org/officeDocument/2006/relationships" name="Qualite" sheetId="10" state="visible" r:id="rId10"/>
    <sheet xmlns:r="http://schemas.openxmlformats.org/officeDocument/2006/relationships" name="Securite" sheetId="11" state="visible" r:id="rId11"/>
    <sheet xmlns:r="http://schemas.openxmlformats.org/officeDocument/2006/relationships" name="Parametres" sheetId="12" state="visible" r:id="rId12"/>
    <sheet xmlns:r="http://schemas.openxmlformats.org/officeDocument/2006/relationships" name="Calculs" sheetId="13" state="visible" r:id="rId13"/>
  </sheets>
  <definedNames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%"/>
    <numFmt numFmtId="166" formatCode="#,##0;[Red](#,##0)"/>
    <numFmt numFmtId="167" formatCode="#,##0 &quot;FCFA&quot;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color rgb="00666666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666666"/>
      <sz val="11"/>
    </font>
    <font>
      <name val="Calibri"/>
      <color rgb="000000FF"/>
      <sz val="11"/>
    </font>
    <font>
      <color rgb="000000FF"/>
    </font>
    <font>
      <color rgb="00666666"/>
    </font>
    <font>
      <color rgb="00000000"/>
    </font>
    <font>
      <name val="Calibri"/>
      <b val="1"/>
      <color rgb="00000000"/>
      <sz val="14"/>
    </font>
    <font>
      <name val="Calibri"/>
      <b val="1"/>
      <color rgb="00000000"/>
      <sz val="16"/>
    </font>
    <font>
      <name val="Calibri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4F6"/>
      </patternFill>
    </fill>
    <fill>
      <patternFill patternType="solid">
        <fgColor rgb="006F42C1"/>
      </patternFill>
    </fill>
    <fill>
      <patternFill patternType="solid">
        <fgColor rgb="000F766E"/>
      </patternFill>
    </fill>
    <fill>
      <patternFill patternType="solid">
        <fgColor rgb="00F59E0B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D7F0EE"/>
      </patternFill>
    </fill>
    <fill>
      <patternFill patternType="solid">
        <fgColor rgb="00E2F0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D9D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center" vertical="center" wrapText="1"/>
    </xf>
    <xf numFmtId="164" fontId="12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165" fontId="13" fillId="10" borderId="0" applyAlignment="1" pivotButton="0" quotePrefix="0" xfId="0">
      <alignment horizontal="center" vertical="center" wrapText="1"/>
    </xf>
    <xf numFmtId="165" fontId="13" fillId="7" borderId="0" applyAlignment="1" pivotButton="0" quotePrefix="0" xfId="0">
      <alignment horizontal="center" vertical="center" wrapText="1"/>
    </xf>
    <xf numFmtId="165" fontId="13" fillId="11" borderId="0" applyAlignment="1" pivotButton="0" quotePrefix="0" xfId="0">
      <alignment horizontal="center" vertical="center" wrapText="1"/>
    </xf>
    <xf numFmtId="3" fontId="13" fillId="9" borderId="0" applyAlignment="1" pivotButton="0" quotePrefix="0" xfId="0">
      <alignment horizontal="center" vertical="center" wrapText="1"/>
    </xf>
    <xf numFmtId="165" fontId="13" fillId="8" borderId="0" applyAlignment="1" pivotButton="0" quotePrefix="0" xfId="0">
      <alignment horizontal="center" vertical="center" wrapText="1"/>
    </xf>
    <xf numFmtId="1" fontId="13" fillId="3" borderId="0" applyAlignment="1" pivotButton="0" quotePrefix="0" xfId="0">
      <alignment horizontal="center" vertical="center" wrapText="1"/>
    </xf>
    <xf numFmtId="1" fontId="13" fillId="11" borderId="0" applyAlignment="1" pivotButton="0" quotePrefix="0" xfId="0">
      <alignment horizontal="center" vertical="center" wrapText="1"/>
    </xf>
    <xf numFmtId="1" fontId="13" fillId="7" borderId="0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 wrapText="1"/>
    </xf>
    <xf numFmtId="164" fontId="8" fillId="8" borderId="0" applyAlignment="1" pivotButton="0" quotePrefix="0" xfId="0">
      <alignment horizontal="left" vertical="center" wrapText="1"/>
    </xf>
    <xf numFmtId="3" fontId="8" fillId="8" borderId="0" applyAlignment="1" pivotButton="0" quotePrefix="0" xfId="0">
      <alignment horizontal="left" vertical="center" wrapText="1"/>
    </xf>
    <xf numFmtId="165" fontId="8" fillId="8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9" fillId="0" borderId="2" pivotButton="0" quotePrefix="0" xfId="0"/>
    <xf numFmtId="0" fontId="10" fillId="0" borderId="2" pivotButton="0" quotePrefix="0" xfId="0"/>
    <xf numFmtId="164" fontId="9" fillId="0" borderId="2" pivotButton="0" quotePrefix="0" xfId="0"/>
    <xf numFmtId="165" fontId="9" fillId="0" borderId="2" pivotButton="0" quotePrefix="0" xfId="0"/>
    <xf numFmtId="1" fontId="9" fillId="0" borderId="2" pivotButton="0" quotePrefix="0" xfId="0"/>
    <xf numFmtId="3" fontId="9" fillId="0" borderId="2" pivotButton="0" quotePrefix="0" xfId="0"/>
    <xf numFmtId="166" fontId="9" fillId="0" borderId="2" pivotButton="0" quotePrefix="0" xfId="0"/>
    <xf numFmtId="166" fontId="11" fillId="0" borderId="2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167" fontId="8" fillId="8" borderId="0" applyAlignment="1" pivotButton="0" quotePrefix="0" xfId="0">
      <alignment horizontal="left" vertical="center" wrapText="1"/>
    </xf>
    <xf numFmtId="167" fontId="9" fillId="0" borderId="2" pivotButton="0" quotePrefix="0" xfId="0"/>
    <xf numFmtId="167" fontId="11" fillId="0" borderId="2" pivotButton="0" quotePrefix="0" xfId="0"/>
  </cellXfs>
  <cellStyles count="1">
    <cellStyle name="Normal" xfId="0"/>
  </cellStyles>
  <dxfs count="4">
    <dxf>
      <fill>
        <patternFill>
          <bgColor rgb="00F4CCCC"/>
        </patternFill>
      </fill>
    </dxf>
    <dxf>
      <fill>
        <patternFill>
          <bgColor rgb="00D9EAD3"/>
        </patternFill>
      </fill>
    </dxf>
    <dxf>
      <fill>
        <patternFill>
          <bgColor rgb="00FDE2E1"/>
        </patternFill>
      </fill>
    </dxf>
    <dxf>
      <fill>
        <patternFill>
          <bgColor rgb="00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Avancement du chantier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</a:p>
      </txPr>
    </title>
    <plotArea>
      <layout/>
      <lineChart>
        <grouping val="standard"/>
        <varyColors val="0"/>
        <ser>
          <idx val="0"/>
          <order val="0"/>
          <tx>
            <strRef>
              <f>'Calculs'!E1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'Calculs'!$D$2:$D$401</f>
              <strCache>
                <ptCount val="0"/>
              </strCache>
            </strRef>
          </cat>
          <val>
            <numRef>
              <f>'Calculs'!$E$2:$E$401</f>
              <numCache>
                <formatCode>0%</formatCode>
                <ptCount val="0"/>
              </numCache>
            </numRef>
          </val>
          <smooth val="0"/>
        </ser>
        <axId val="48650112"/>
        <axId val="48672768"/>
      </lineChart>
      <catAx>
        <axId val="48650112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Date</a:t>
                </a:r>
              </a:p>
            </rich>
          </tx>
        </title>
        <numFmt formatCode="" sourceLinked="0"/>
        <majorTickMark val="none"/>
        <minorTickMark val="none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Avancement</a:t>
                </a:r>
              </a:p>
            </rich>
          </tx>
        </title>
        <numFmt formatCode="0%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Statut des paiements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</a:p>
      </txPr>
    </title>
    <plotArea>
      <layout/>
      <pieChart>
        <varyColors val="1"/>
        <ser>
          <idx val="0"/>
          <order val="0"/>
          <tx>
            <strRef>
              <f>'Calculs'!H1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'Calculs'!$G$2:$G$4</f>
              <strCache>
                <ptCount val="0"/>
              </strCache>
            </strRef>
          </cat>
          <val>
            <numRef>
              <f>'Calculs'!$H$2:$H$4</f>
              <numCache>
                <formatCode>General</formatCode>
                <ptCount val="0"/>
              </numCache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Incidents par type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</a:p>
      </txPr>
    </title>
    <plotArea>
      <layout/>
      <barChart>
        <barDir val="bar"/>
        <grouping val="clustered"/>
        <ser>
          <idx val="0"/>
          <order val="0"/>
          <tx>
            <strRef>
              <f>'Calculs'!K1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'Calculs'!$J$2:$J$7</f>
              <strCache>
                <ptCount val="0"/>
              </strCache>
            </strRef>
          </cat>
          <val>
            <numRef>
              <f>'Calculs'!$K$2:$K$7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Nombre</a:t>
                </a:r>
              </a:p>
            </rich>
          </tx>
        </title>
        <numFmt formatCode="" sourceLinked="0"/>
        <majorTickMark val="none"/>
        <minorTickMark val="none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Type</a:t>
                </a:r>
              </a:p>
            </rich>
          </tx>
        </title>
        <numFmt formatCode="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Quantités de matériaux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</a:p>
      </txPr>
    </title>
    <plotArea>
      <layout/>
      <barChart>
        <barDir val="col"/>
        <grouping val="clustered"/>
        <ser>
          <idx val="0"/>
          <order val="0"/>
          <tx>
            <strRef>
              <f>'Calculs'!N1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'Calculs'!$M$2:$M$10</f>
              <strCache>
                <ptCount val="0"/>
              </strCache>
            </strRef>
          </cat>
          <val>
            <numRef>
              <f>'Calculs'!$N$2:$N$10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Matériau</a:t>
                </a:r>
              </a:p>
            </rich>
          </tx>
        </title>
        <numFmt formatCode="" sourceLinked="0"/>
        <majorTickMark val="none"/>
        <minorTickMark val="none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Quantité</a:t>
                </a:r>
              </a:p>
            </rich>
          </tx>
        </title>
        <numFmt formatCode="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N4" authorId="0" shapeId="0">
      <text>
        <t>Dashboard alimenté automatiquement. Saisir les données dans les autres feuilles.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4" authorId="0" shapeId="0">
      <text>
        <t>Cellule de saisie utilisateur</t>
      </text>
    </comment>
    <comment ref="B6" authorId="0" shapeId="0">
      <text>
        <t>Cellule de saisie utilisateur</t>
      </text>
    </comment>
    <comment ref="B8" authorId="0" shapeId="0">
      <text>
        <t>Cellule de saisie utilisateur</t>
      </text>
    </comment>
    <comment ref="B10" authorId="0" shapeId="0">
      <text>
        <t>Cellule de saisie utilisateur</t>
      </text>
    </comment>
    <comment ref="B12" authorId="0" shapeId="0">
      <text>
        <t>Cellule de saisie utilisateur</t>
      </text>
    </comment>
    <comment ref="B14" authorId="0" shapeId="0">
      <text>
        <t>Cellule de saisie utilisateur</t>
      </text>
    </comment>
    <comment ref="B16" authorId="0" shapeId="0">
      <text>
        <t>Cellule de saisie utilisateur</t>
      </text>
    </comment>
    <comment ref="B18" authorId="0" shapeId="0">
      <text>
        <t>Cellule de saisie utilisateur</t>
      </text>
    </comment>
    <comment ref="B20" authorId="0" shapeId="0">
      <text>
        <t>Cellule de saisie utilisateur</t>
      </text>
    </comment>
    <comment ref="B22" authorId="0" shapeId="0">
      <text>
        <t>Cellule de saisie utilisateur</t>
      </text>
    </comment>
    <comment ref="B24" authorId="0" shapeId="0">
      <text>
        <t>Cellule de saisie utilisateur</t>
      </text>
    </comment>
    <comment ref="B26" authorId="0" shapeId="0">
      <text>
        <t>Cellule de saisie utilisateur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F5" authorId="0" shapeId="0">
      <text>
        <t>Écart = montant réel - montant prévu</t>
      </text>
    </comment>
    <comment ref="F6" authorId="0" shapeId="0">
      <text>
        <t>Écart = montant réel - montant prévu</t>
      </text>
    </comment>
    <comment ref="F7" authorId="0" shapeId="0">
      <text>
        <t>Écart = montant réel - montant prévu</t>
      </text>
    </comment>
    <comment ref="F8" authorId="0" shapeId="0">
      <text>
        <t>Écart = montant réel - montant prévu</t>
      </text>
    </comment>
    <comment ref="F9" authorId="0" shapeId="0">
      <text>
        <t>Écart = montant réel - montant prévu</t>
      </text>
    </comment>
    <comment ref="F10" authorId="0" shapeId="0">
      <text>
        <t>Écart = montant réel - montant prévu</t>
      </text>
    </comment>
    <comment ref="F11" authorId="0" shapeId="0">
      <text>
        <t>Écart = montant réel - montant prévu</t>
      </text>
    </comment>
    <comment ref="F12" authorId="0" shapeId="0">
      <text>
        <t>Écart = montant réel - montant prévu</t>
      </text>
    </comment>
    <comment ref="F13" authorId="0" shapeId="0">
      <text>
        <t>Écart = montant réel - montant prévu</t>
      </text>
    </comment>
    <comment ref="F14" authorId="0" shapeId="0">
      <text>
        <t>Écart = montant réel - montant prévu</t>
      </text>
    </comment>
    <comment ref="F15" authorId="0" shapeId="0">
      <text>
        <t>Écart = montant réel - montant prévu</t>
      </text>
    </comment>
    <comment ref="F16" authorId="0" shapeId="0">
      <text>
        <t>Écart = montant réel - montant prévu</t>
      </text>
    </comment>
    <comment ref="F17" authorId="0" shapeId="0">
      <text>
        <t>Écart = montant réel - montant prévu</t>
      </text>
    </comment>
    <comment ref="F18" authorId="0" shapeId="0">
      <text>
        <t>Écart = montant réel - montant prévu</t>
      </text>
    </comment>
    <comment ref="F19" authorId="0" shapeId="0">
      <text>
        <t>Écart = montant réel - montant prévu</t>
      </text>
    </comment>
    <comment ref="F20" authorId="0" shapeId="0">
      <text>
        <t>Écart = montant réel - montant prévu</t>
      </text>
    </comment>
    <comment ref="F21" authorId="0" shapeId="0">
      <text>
        <t>Écart = montant réel - montant prévu</t>
      </text>
    </comment>
    <comment ref="F22" authorId="0" shapeId="0">
      <text>
        <t>Écart = montant réel - montant prévu</t>
      </text>
    </comment>
    <comment ref="F23" authorId="0" shapeId="0">
      <text>
        <t>Écart = montant réel - montant prévu</t>
      </text>
    </comment>
    <comment ref="F24" authorId="0" shapeId="0">
      <text>
        <t>Écart = montant réel - montant prévu</t>
      </text>
    </comment>
    <comment ref="F25" authorId="0" shapeId="0">
      <text>
        <t>Écart = montant réel - montant prévu</t>
      </text>
    </comment>
    <comment ref="F26" authorId="0" shapeId="0">
      <text>
        <t>Écart = montant réel - montant prévu</t>
      </text>
    </comment>
    <comment ref="F27" authorId="0" shapeId="0">
      <text>
        <t>Écart = montant réel - montant prévu</t>
      </text>
    </comment>
    <comment ref="F28" authorId="0" shapeId="0">
      <text>
        <t>Écart = montant réel - montant prévu</t>
      </text>
    </comment>
    <comment ref="F29" authorId="0" shapeId="0">
      <text>
        <t>Écart = montant réel - montant prévu</t>
      </text>
    </comment>
    <comment ref="F30" authorId="0" shapeId="0">
      <text>
        <t>Écart = montant réel - montant prévu</t>
      </text>
    </comment>
    <comment ref="F31" authorId="0" shapeId="0">
      <text>
        <t>Écart = montant réel - montant prévu</t>
      </text>
    </comment>
    <comment ref="F32" authorId="0" shapeId="0">
      <text>
        <t>Écart = montant réel - montant prévu</t>
      </text>
    </comment>
    <comment ref="F33" authorId="0" shapeId="0">
      <text>
        <t>Écart = montant réel - montant prévu</t>
      </text>
    </comment>
    <comment ref="F34" authorId="0" shapeId="0">
      <text>
        <t>Écart = montant réel - montant prévu</t>
      </text>
    </comment>
    <comment ref="F35" authorId="0" shapeId="0">
      <text>
        <t>Écart = montant réel - montant prévu</t>
      </text>
    </comment>
    <comment ref="F36" authorId="0" shapeId="0">
      <text>
        <t>Écart = montant réel - montant prévu</t>
      </text>
    </comment>
    <comment ref="F37" authorId="0" shapeId="0">
      <text>
        <t>Écart = montant réel - montant prévu</t>
      </text>
    </comment>
    <comment ref="F38" authorId="0" shapeId="0">
      <text>
        <t>Écart = montant réel - montant prévu</t>
      </text>
    </comment>
    <comment ref="F39" authorId="0" shapeId="0">
      <text>
        <t>Écart = montant réel - montant prévu</t>
      </text>
    </comment>
    <comment ref="F40" authorId="0" shapeId="0">
      <text>
        <t>Écart = montant réel - montant prévu</t>
      </text>
    </comment>
    <comment ref="F41" authorId="0" shapeId="0">
      <text>
        <t>Écart = montant réel - montant prévu</t>
      </text>
    </comment>
    <comment ref="F42" authorId="0" shapeId="0">
      <text>
        <t>Écart = montant réel - montant prévu</t>
      </text>
    </comment>
    <comment ref="F43" authorId="0" shapeId="0">
      <text>
        <t>Écart = montant réel - montant prévu</t>
      </text>
    </comment>
    <comment ref="F44" authorId="0" shapeId="0">
      <text>
        <t>Écart = montant réel - montant prévu</t>
      </text>
    </comment>
    <comment ref="F45" authorId="0" shapeId="0">
      <text>
        <t>Écart = montant réel - montant prévu</t>
      </text>
    </comment>
    <comment ref="F46" authorId="0" shapeId="0">
      <text>
        <t>Écart = montant réel - montant prévu</t>
      </text>
    </comment>
    <comment ref="F47" authorId="0" shapeId="0">
      <text>
        <t>Écart = montant réel - montant prévu</t>
      </text>
    </comment>
    <comment ref="F48" authorId="0" shapeId="0">
      <text>
        <t>Écart = montant réel - montant prévu</t>
      </text>
    </comment>
    <comment ref="F49" authorId="0" shapeId="0">
      <text>
        <t>Écart = montant réel - montant prévu</t>
      </text>
    </comment>
    <comment ref="F50" authorId="0" shapeId="0">
      <text>
        <t>Écart = montant réel - montant prévu</t>
      </text>
    </comment>
    <comment ref="F51" authorId="0" shapeId="0">
      <text>
        <t>Écart = montant réel - montant prévu</t>
      </text>
    </comment>
    <comment ref="F52" authorId="0" shapeId="0">
      <text>
        <t>Écart = montant réel - montant prévu</t>
      </text>
    </comment>
    <comment ref="F53" authorId="0" shapeId="0">
      <text>
        <t>Écart = montant réel - montant prévu</t>
      </text>
    </comment>
    <comment ref="F54" authorId="0" shapeId="0">
      <text>
        <t>Écart = montant réel - montant prévu</t>
      </text>
    </comment>
    <comment ref="F55" authorId="0" shapeId="0">
      <text>
        <t>Écart = montant réel - montant prévu</t>
      </text>
    </comment>
    <comment ref="F56" authorId="0" shapeId="0">
      <text>
        <t>Écart = montant réel - montant prévu</t>
      </text>
    </comment>
    <comment ref="F57" authorId="0" shapeId="0">
      <text>
        <t>Écart = montant réel - montant prévu</t>
      </text>
    </comment>
    <comment ref="F58" authorId="0" shapeId="0">
      <text>
        <t>Écart = montant réel - montant prévu</t>
      </text>
    </comment>
    <comment ref="F59" authorId="0" shapeId="0">
      <text>
        <t>Écart = montant réel - montant prévu</t>
      </text>
    </comment>
    <comment ref="F60" authorId="0" shapeId="0">
      <text>
        <t>Écart = montant réel - montant prévu</t>
      </text>
    </comment>
    <comment ref="F61" authorId="0" shapeId="0">
      <text>
        <t>Écart = montant réel - montant prévu</t>
      </text>
    </comment>
    <comment ref="F62" authorId="0" shapeId="0">
      <text>
        <t>Écart = montant réel - montant prévu</t>
      </text>
    </comment>
    <comment ref="F63" authorId="0" shapeId="0">
      <text>
        <t>Écart = montant réel - montant prévu</t>
      </text>
    </comment>
    <comment ref="F64" authorId="0" shapeId="0">
      <text>
        <t>Écart = montant réel - montant prévu</t>
      </text>
    </comment>
    <comment ref="F65" authorId="0" shapeId="0">
      <text>
        <t>Écart = montant réel - montant prévu</t>
      </text>
    </comment>
    <comment ref="F66" authorId="0" shapeId="0">
      <text>
        <t>Écart = montant réel - montant prévu</t>
      </text>
    </comment>
    <comment ref="F67" authorId="0" shapeId="0">
      <text>
        <t>Écart = montant réel - montant prévu</t>
      </text>
    </comment>
    <comment ref="F68" authorId="0" shapeId="0">
      <text>
        <t>Écart = montant réel - montant prévu</t>
      </text>
    </comment>
    <comment ref="F69" authorId="0" shapeId="0">
      <text>
        <t>Écart = montant réel - montant prévu</t>
      </text>
    </comment>
    <comment ref="F70" authorId="0" shapeId="0">
      <text>
        <t>Écart = montant réel - montant prévu</t>
      </text>
    </comment>
    <comment ref="F71" authorId="0" shapeId="0">
      <text>
        <t>Écart = montant réel - montant prévu</t>
      </text>
    </comment>
    <comment ref="F72" authorId="0" shapeId="0">
      <text>
        <t>Écart = montant réel - montant prévu</t>
      </text>
    </comment>
    <comment ref="F73" authorId="0" shapeId="0">
      <text>
        <t>Écart = montant réel - montant prévu</t>
      </text>
    </comment>
    <comment ref="F74" authorId="0" shapeId="0">
      <text>
        <t>Écart = montant réel - montant prévu</t>
      </text>
    </comment>
    <comment ref="F75" authorId="0" shapeId="0">
      <text>
        <t>Écart = montant réel - montant prévu</t>
      </text>
    </comment>
    <comment ref="F76" authorId="0" shapeId="0">
      <text>
        <t>Écart = montant réel - montant prévu</t>
      </text>
    </comment>
    <comment ref="F77" authorId="0" shapeId="0">
      <text>
        <t>Écart = montant réel - montant prévu</t>
      </text>
    </comment>
    <comment ref="F78" authorId="0" shapeId="0">
      <text>
        <t>Écart = montant réel - montant prévu</t>
      </text>
    </comment>
    <comment ref="F79" authorId="0" shapeId="0">
      <text>
        <t>Écart = montant réel - montant prévu</t>
      </text>
    </comment>
    <comment ref="F80" authorId="0" shapeId="0">
      <text>
        <t>Écart = montant réel - montant prévu</t>
      </text>
    </comment>
    <comment ref="F81" authorId="0" shapeId="0">
      <text>
        <t>Écart = montant réel - montant prévu</t>
      </text>
    </comment>
    <comment ref="F82" authorId="0" shapeId="0">
      <text>
        <t>Écart = montant réel - montant prévu</t>
      </text>
    </comment>
    <comment ref="F83" authorId="0" shapeId="0">
      <text>
        <t>Écart = montant réel - montant prévu</t>
      </text>
    </comment>
    <comment ref="F84" authorId="0" shapeId="0">
      <text>
        <t>Écart = montant réel - montant prévu</t>
      </text>
    </comment>
    <comment ref="F85" authorId="0" shapeId="0">
      <text>
        <t>Écart = montant réel - montant prévu</t>
      </text>
    </comment>
    <comment ref="F86" authorId="0" shapeId="0">
      <text>
        <t>Écart = montant réel - montant prévu</t>
      </text>
    </comment>
    <comment ref="F87" authorId="0" shapeId="0">
      <text>
        <t>Écart = montant réel - montant prévu</t>
      </text>
    </comment>
    <comment ref="F88" authorId="0" shapeId="0">
      <text>
        <t>Écart = montant réel - montant prévu</t>
      </text>
    </comment>
    <comment ref="F89" authorId="0" shapeId="0">
      <text>
        <t>Écart = montant réel - montant prévu</t>
      </text>
    </comment>
    <comment ref="F90" authorId="0" shapeId="0">
      <text>
        <t>Écart = montant réel - montant prévu</t>
      </text>
    </comment>
    <comment ref="F91" authorId="0" shapeId="0">
      <text>
        <t>Écart = montant réel - montant prévu</t>
      </text>
    </comment>
    <comment ref="F92" authorId="0" shapeId="0">
      <text>
        <t>Écart = montant réel - montant prévu</t>
      </text>
    </comment>
    <comment ref="F93" authorId="0" shapeId="0">
      <text>
        <t>Écart = montant réel - montant prévu</t>
      </text>
    </comment>
    <comment ref="F94" authorId="0" shapeId="0">
      <text>
        <t>Écart = montant réel - montant prévu</t>
      </text>
    </comment>
    <comment ref="F95" authorId="0" shapeId="0">
      <text>
        <t>Écart = montant réel - montant prévu</t>
      </text>
    </comment>
    <comment ref="F96" authorId="0" shapeId="0">
      <text>
        <t>Écart = montant réel - montant prévu</t>
      </text>
    </comment>
    <comment ref="F97" authorId="0" shapeId="0">
      <text>
        <t>Écart = montant réel - montant prévu</t>
      </text>
    </comment>
    <comment ref="F98" authorId="0" shapeId="0">
      <text>
        <t>Écart = montant réel - montant prévu</t>
      </text>
    </comment>
    <comment ref="F99" authorId="0" shapeId="0">
      <text>
        <t>Écart = montant réel - montant prévu</t>
      </text>
    </comment>
    <comment ref="F100" authorId="0" shapeId="0">
      <text>
        <t>Écart = montant réel - montant prévu</t>
      </text>
    </comment>
    <comment ref="F101" authorId="0" shapeId="0">
      <text>
        <t>Écart = montant réel - montant prévu</t>
      </text>
    </comment>
    <comment ref="F102" authorId="0" shapeId="0">
      <text>
        <t>Écart = montant réel - montant prévu</t>
      </text>
    </comment>
    <comment ref="F103" authorId="0" shapeId="0">
      <text>
        <t>Écart = montant réel - montant prévu</t>
      </text>
    </comment>
    <comment ref="F104" authorId="0" shapeId="0">
      <text>
        <t>Écart = montant réel - montant prévu</t>
      </text>
    </comment>
    <comment ref="F105" authorId="0" shapeId="0">
      <text>
        <t>Écart = montant réel - montant prévu</t>
      </text>
    </comment>
    <comment ref="F106" authorId="0" shapeId="0">
      <text>
        <t>Écart = montant réel - montant prévu</t>
      </text>
    </comment>
    <comment ref="F107" authorId="0" shapeId="0">
      <text>
        <t>Écart = montant réel - montant prévu</t>
      </text>
    </comment>
    <comment ref="F108" authorId="0" shapeId="0">
      <text>
        <t>Écart = montant réel - montant prévu</t>
      </text>
    </comment>
    <comment ref="F109" authorId="0" shapeId="0">
      <text>
        <t>Écart = montant réel - montant prévu</t>
      </text>
    </comment>
    <comment ref="F110" authorId="0" shapeId="0">
      <text>
        <t>Écart = montant réel - montant prévu</t>
      </text>
    </comment>
    <comment ref="F111" authorId="0" shapeId="0">
      <text>
        <t>Écart = montant réel - montant prévu</t>
      </text>
    </comment>
    <comment ref="F112" authorId="0" shapeId="0">
      <text>
        <t>Écart = montant réel - montant prévu</t>
      </text>
    </comment>
    <comment ref="F113" authorId="0" shapeId="0">
      <text>
        <t>Écart = montant réel - montant prévu</t>
      </text>
    </comment>
    <comment ref="F114" authorId="0" shapeId="0">
      <text>
        <t>Écart = montant réel - montant prévu</t>
      </text>
    </comment>
    <comment ref="F115" authorId="0" shapeId="0">
      <text>
        <t>Écart = montant réel - montant prévu</t>
      </text>
    </comment>
    <comment ref="F116" authorId="0" shapeId="0">
      <text>
        <t>Écart = montant réel - montant prévu</t>
      </text>
    </comment>
    <comment ref="F117" authorId="0" shapeId="0">
      <text>
        <t>Écart = montant réel - montant prévu</t>
      </text>
    </comment>
    <comment ref="F118" authorId="0" shapeId="0">
      <text>
        <t>Écart = montant réel - montant prévu</t>
      </text>
    </comment>
    <comment ref="F119" authorId="0" shapeId="0">
      <text>
        <t>Écart = montant réel - montant prévu</t>
      </text>
    </comment>
    <comment ref="F120" authorId="0" shapeId="0">
      <text>
        <t>Écart = montant réel - montant prévu</t>
      </text>
    </comment>
    <comment ref="F121" authorId="0" shapeId="0">
      <text>
        <t>Écart = montant réel - montant prévu</t>
      </text>
    </comment>
    <comment ref="F122" authorId="0" shapeId="0">
      <text>
        <t>Écart = montant réel - montant prévu</t>
      </text>
    </comment>
    <comment ref="F123" authorId="0" shapeId="0">
      <text>
        <t>Écart = montant réel - montant prévu</t>
      </text>
    </comment>
    <comment ref="F124" authorId="0" shapeId="0">
      <text>
        <t>Écart = montant réel - montant prévu</t>
      </text>
    </comment>
    <comment ref="F125" authorId="0" shapeId="0">
      <text>
        <t>Écart = montant réel - montant prévu</t>
      </text>
    </comment>
    <comment ref="F126" authorId="0" shapeId="0">
      <text>
        <t>Écart = montant réel - montant prévu</t>
      </text>
    </comment>
    <comment ref="F127" authorId="0" shapeId="0">
      <text>
        <t>Écart = montant réel - montant prévu</t>
      </text>
    </comment>
    <comment ref="F128" authorId="0" shapeId="0">
      <text>
        <t>Écart = montant réel - montant prévu</t>
      </text>
    </comment>
    <comment ref="F129" authorId="0" shapeId="0">
      <text>
        <t>Écart = montant réel - montant prévu</t>
      </text>
    </comment>
    <comment ref="F130" authorId="0" shapeId="0">
      <text>
        <t>Écart = montant réel - montant prévu</t>
      </text>
    </comment>
    <comment ref="F131" authorId="0" shapeId="0">
      <text>
        <t>Écart = montant réel - montant prévu</t>
      </text>
    </comment>
    <comment ref="F132" authorId="0" shapeId="0">
      <text>
        <t>Écart = montant réel - montant prévu</t>
      </text>
    </comment>
    <comment ref="F133" authorId="0" shapeId="0">
      <text>
        <t>Écart = montant réel - montant prévu</t>
      </text>
    </comment>
    <comment ref="F134" authorId="0" shapeId="0">
      <text>
        <t>Écart = montant réel - montant prévu</t>
      </text>
    </comment>
    <comment ref="F135" authorId="0" shapeId="0">
      <text>
        <t>Écart = montant réel - montant prévu</t>
      </text>
    </comment>
    <comment ref="F136" authorId="0" shapeId="0">
      <text>
        <t>Écart = montant réel - montant prévu</t>
      </text>
    </comment>
    <comment ref="F137" authorId="0" shapeId="0">
      <text>
        <t>Écart = montant réel - montant prévu</t>
      </text>
    </comment>
    <comment ref="F138" authorId="0" shapeId="0">
      <text>
        <t>Écart = montant réel - montant prévu</t>
      </text>
    </comment>
    <comment ref="F139" authorId="0" shapeId="0">
      <text>
        <t>Écart = montant réel - montant prévu</t>
      </text>
    </comment>
    <comment ref="F140" authorId="0" shapeId="0">
      <text>
        <t>Écart = montant réel - montant prévu</t>
      </text>
    </comment>
    <comment ref="F141" authorId="0" shapeId="0">
      <text>
        <t>Écart = montant réel - montant prévu</t>
      </text>
    </comment>
    <comment ref="F142" authorId="0" shapeId="0">
      <text>
        <t>Écart = montant réel - montant prévu</t>
      </text>
    </comment>
    <comment ref="F143" authorId="0" shapeId="0">
      <text>
        <t>Écart = montant réel - montant prévu</t>
      </text>
    </comment>
    <comment ref="F144" authorId="0" shapeId="0">
      <text>
        <t>Écart = montant réel - montant prévu</t>
      </text>
    </comment>
    <comment ref="F145" authorId="0" shapeId="0">
      <text>
        <t>Écart = montant réel - montant prévu</t>
      </text>
    </comment>
    <comment ref="F146" authorId="0" shapeId="0">
      <text>
        <t>Écart = montant réel - montant prévu</t>
      </text>
    </comment>
    <comment ref="F147" authorId="0" shapeId="0">
      <text>
        <t>Écart = montant réel - montant prévu</t>
      </text>
    </comment>
    <comment ref="F148" authorId="0" shapeId="0">
      <text>
        <t>Écart = montant réel - montant prévu</t>
      </text>
    </comment>
    <comment ref="F149" authorId="0" shapeId="0">
      <text>
        <t>Écart = montant réel - montant prévu</t>
      </text>
    </comment>
    <comment ref="F150" authorId="0" shapeId="0">
      <text>
        <t>Écart = montant réel - montant prévu</t>
      </text>
    </comment>
    <comment ref="F151" authorId="0" shapeId="0">
      <text>
        <t>Écart = montant réel - montant prévu</t>
      </text>
    </comment>
    <comment ref="F152" authorId="0" shapeId="0">
      <text>
        <t>Écart = montant réel - montant prévu</t>
      </text>
    </comment>
    <comment ref="F153" authorId="0" shapeId="0">
      <text>
        <t>Écart = montant réel - montant prévu</t>
      </text>
    </comment>
    <comment ref="F154" authorId="0" shapeId="0">
      <text>
        <t>Écart = montant réel - montant prévu</t>
      </text>
    </comment>
    <comment ref="F155" authorId="0" shapeId="0">
      <text>
        <t>Écart = montant réel - montant prévu</t>
      </text>
    </comment>
    <comment ref="F156" authorId="0" shapeId="0">
      <text>
        <t>Écart = montant réel - montant prévu</t>
      </text>
    </comment>
    <comment ref="F157" authorId="0" shapeId="0">
      <text>
        <t>Écart = montant réel - montant prévu</t>
      </text>
    </comment>
    <comment ref="F158" authorId="0" shapeId="0">
      <text>
        <t>Écart = montant réel - montant prévu</t>
      </text>
    </comment>
    <comment ref="F159" authorId="0" shapeId="0">
      <text>
        <t>Écart = montant réel - montant prévu</t>
      </text>
    </comment>
    <comment ref="F160" authorId="0" shapeId="0">
      <text>
        <t>Écart = montant réel - montant prévu</t>
      </text>
    </comment>
    <comment ref="F161" authorId="0" shapeId="0">
      <text>
        <t>Écart = montant réel - montant prévu</t>
      </text>
    </comment>
    <comment ref="F162" authorId="0" shapeId="0">
      <text>
        <t>Écart = montant réel - montant prévu</t>
      </text>
    </comment>
    <comment ref="F163" authorId="0" shapeId="0">
      <text>
        <t>Écart = montant réel - montant prévu</t>
      </text>
    </comment>
    <comment ref="F164" authorId="0" shapeId="0">
      <text>
        <t>Écart = montant réel - montant prévu</t>
      </text>
    </comment>
    <comment ref="F165" authorId="0" shapeId="0">
      <text>
        <t>Écart = montant réel - montant prévu</t>
      </text>
    </comment>
    <comment ref="F166" authorId="0" shapeId="0">
      <text>
        <t>Écart = montant réel - montant prévu</t>
      </text>
    </comment>
    <comment ref="F167" authorId="0" shapeId="0">
      <text>
        <t>Écart = montant réel - montant prévu</t>
      </text>
    </comment>
    <comment ref="F168" authorId="0" shapeId="0">
      <text>
        <t>Écart = montant réel - montant prévu</t>
      </text>
    </comment>
    <comment ref="F169" authorId="0" shapeId="0">
      <text>
        <t>Écart = montant réel - montant prévu</t>
      </text>
    </comment>
    <comment ref="F170" authorId="0" shapeId="0">
      <text>
        <t>Écart = montant réel - montant prévu</t>
      </text>
    </comment>
    <comment ref="F171" authorId="0" shapeId="0">
      <text>
        <t>Écart = montant réel - montant prévu</t>
      </text>
    </comment>
    <comment ref="F172" authorId="0" shapeId="0">
      <text>
        <t>Écart = montant réel - montant prévu</t>
      </text>
    </comment>
    <comment ref="F173" authorId="0" shapeId="0">
      <text>
        <t>Écart = montant réel - montant prévu</t>
      </text>
    </comment>
    <comment ref="F174" authorId="0" shapeId="0">
      <text>
        <t>Écart = montant réel - montant prévu</t>
      </text>
    </comment>
    <comment ref="F175" authorId="0" shapeId="0">
      <text>
        <t>Écart = montant réel - montant prévu</t>
      </text>
    </comment>
    <comment ref="F176" authorId="0" shapeId="0">
      <text>
        <t>Écart = montant réel - montant prévu</t>
      </text>
    </comment>
    <comment ref="F177" authorId="0" shapeId="0">
      <text>
        <t>Écart = montant réel - montant prévu</t>
      </text>
    </comment>
    <comment ref="F178" authorId="0" shapeId="0">
      <text>
        <t>Écart = montant réel - montant prévu</t>
      </text>
    </comment>
    <comment ref="F179" authorId="0" shapeId="0">
      <text>
        <t>Écart = montant réel - montant prévu</t>
      </text>
    </comment>
    <comment ref="F180" authorId="0" shapeId="0">
      <text>
        <t>Écart = montant réel - montant prévu</t>
      </text>
    </comment>
    <comment ref="F181" authorId="0" shapeId="0">
      <text>
        <t>Écart = montant réel - montant prévu</t>
      </text>
    </comment>
    <comment ref="F182" authorId="0" shapeId="0">
      <text>
        <t>Écart = montant réel - montant prévu</t>
      </text>
    </comment>
    <comment ref="F183" authorId="0" shapeId="0">
      <text>
        <t>Écart = montant réel - montant prévu</t>
      </text>
    </comment>
    <comment ref="F184" authorId="0" shapeId="0">
      <text>
        <t>Écart = montant réel - montant prévu</t>
      </text>
    </comment>
    <comment ref="F185" authorId="0" shapeId="0">
      <text>
        <t>Écart = montant réel - montant prévu</t>
      </text>
    </comment>
    <comment ref="F186" authorId="0" shapeId="0">
      <text>
        <t>Écart = montant réel - montant prévu</t>
      </text>
    </comment>
    <comment ref="F187" authorId="0" shapeId="0">
      <text>
        <t>Écart = montant réel - montant prévu</t>
      </text>
    </comment>
    <comment ref="F188" authorId="0" shapeId="0">
      <text>
        <t>Écart = montant réel - montant prévu</t>
      </text>
    </comment>
    <comment ref="F189" authorId="0" shapeId="0">
      <text>
        <t>Écart = montant réel - montant prévu</t>
      </text>
    </comment>
    <comment ref="F190" authorId="0" shapeId="0">
      <text>
        <t>Écart = montant réel - montant prévu</t>
      </text>
    </comment>
    <comment ref="F191" authorId="0" shapeId="0">
      <text>
        <t>Écart = montant réel - montant prévu</t>
      </text>
    </comment>
    <comment ref="F192" authorId="0" shapeId="0">
      <text>
        <t>Écart = montant réel - montant prévu</t>
      </text>
    </comment>
    <comment ref="F193" authorId="0" shapeId="0">
      <text>
        <t>Écart = montant réel - montant prévu</t>
      </text>
    </comment>
    <comment ref="F194" authorId="0" shapeId="0">
      <text>
        <t>Écart = montant réel - montant prévu</t>
      </text>
    </comment>
    <comment ref="F195" authorId="0" shapeId="0">
      <text>
        <t>Écart = montant réel - montant prévu</t>
      </text>
    </comment>
    <comment ref="F196" authorId="0" shapeId="0">
      <text>
        <t>Écart = montant réel - montant prévu</t>
      </text>
    </comment>
    <comment ref="F197" authorId="0" shapeId="0">
      <text>
        <t>Écart = montant réel - montant prévu</t>
      </text>
    </comment>
    <comment ref="F198" authorId="0" shapeId="0">
      <text>
        <t>Écart = montant réel - montant prévu</t>
      </text>
    </comment>
    <comment ref="F199" authorId="0" shapeId="0">
      <text>
        <t>Écart = montant réel - montant prévu</t>
      </text>
    </comment>
    <comment ref="F200" authorId="0" shapeId="0">
      <text>
        <t>Écart = montant réel - montant prévu</t>
      </text>
    </comment>
    <comment ref="F201" authorId="0" shapeId="0">
      <text>
        <t>Écart = montant réel - montant prévu</t>
      </text>
    </comment>
    <comment ref="F202" authorId="0" shapeId="0">
      <text>
        <t>Écart = montant réel - montant prévu</t>
      </text>
    </comment>
    <comment ref="F203" authorId="0" shapeId="0">
      <text>
        <t>Écart = montant réel - montant prévu</t>
      </text>
    </comment>
    <comment ref="F204" authorId="0" shapeId="0">
      <text>
        <t>Écart = montant réel - montant prévu</t>
      </text>
    </comment>
    <comment ref="F205" authorId="0" shapeId="0">
      <text>
        <t>Écart = montant réel - montant prévu</t>
      </text>
    </comment>
    <comment ref="F206" authorId="0" shapeId="0">
      <text>
        <t>Écart = montant réel - montant prévu</t>
      </text>
    </comment>
    <comment ref="F207" authorId="0" shapeId="0">
      <text>
        <t>Écart = montant réel - montant prévu</t>
      </text>
    </comment>
    <comment ref="F208" authorId="0" shapeId="0">
      <text>
        <t>Écart = montant réel - montant prévu</t>
      </text>
    </comment>
    <comment ref="F209" authorId="0" shapeId="0">
      <text>
        <t>Écart = montant réel - montant prévu</t>
      </text>
    </comment>
    <comment ref="F210" authorId="0" shapeId="0">
      <text>
        <t>Écart = montant réel - montant prévu</t>
      </text>
    </comment>
    <comment ref="F211" authorId="0" shapeId="0">
      <text>
        <t>Écart = montant réel - montant prévu</t>
      </text>
    </comment>
    <comment ref="F212" authorId="0" shapeId="0">
      <text>
        <t>Écart = montant réel - montant prévu</t>
      </text>
    </comment>
    <comment ref="F213" authorId="0" shapeId="0">
      <text>
        <t>Écart = montant réel - montant prévu</t>
      </text>
    </comment>
    <comment ref="F214" authorId="0" shapeId="0">
      <text>
        <t>Écart = montant réel - montant prévu</t>
      </text>
    </comment>
    <comment ref="F215" authorId="0" shapeId="0">
      <text>
        <t>Écart = montant réel - montant prévu</t>
      </text>
    </comment>
    <comment ref="F216" authorId="0" shapeId="0">
      <text>
        <t>Écart = montant réel - montant prévu</t>
      </text>
    </comment>
    <comment ref="F217" authorId="0" shapeId="0">
      <text>
        <t>Écart = montant réel - montant prévu</t>
      </text>
    </comment>
    <comment ref="F218" authorId="0" shapeId="0">
      <text>
        <t>Écart = montant réel - montant prévu</t>
      </text>
    </comment>
    <comment ref="F219" authorId="0" shapeId="0">
      <text>
        <t>Écart = montant réel - montant prévu</t>
      </text>
    </comment>
    <comment ref="F220" authorId="0" shapeId="0">
      <text>
        <t>Écart = montant réel - montant prévu</t>
      </text>
    </comment>
    <comment ref="F221" authorId="0" shapeId="0">
      <text>
        <t>Écart = montant réel - montant prévu</t>
      </text>
    </comment>
    <comment ref="F222" authorId="0" shapeId="0">
      <text>
        <t>Écart = montant réel - montant prévu</t>
      </text>
    </comment>
    <comment ref="F223" authorId="0" shapeId="0">
      <text>
        <t>Écart = montant réel - montant prévu</t>
      </text>
    </comment>
    <comment ref="F224" authorId="0" shapeId="0">
      <text>
        <t>Écart = montant réel - montant prévu</t>
      </text>
    </comment>
    <comment ref="F225" authorId="0" shapeId="0">
      <text>
        <t>Écart = montant réel - montant prévu</t>
      </text>
    </comment>
    <comment ref="F226" authorId="0" shapeId="0">
      <text>
        <t>Écart = montant réel - montant prévu</t>
      </text>
    </comment>
    <comment ref="F227" authorId="0" shapeId="0">
      <text>
        <t>Écart = montant réel - montant prévu</t>
      </text>
    </comment>
    <comment ref="F228" authorId="0" shapeId="0">
      <text>
        <t>Écart = montant réel - montant prévu</t>
      </text>
    </comment>
    <comment ref="F229" authorId="0" shapeId="0">
      <text>
        <t>Écart = montant réel - montant prévu</t>
      </text>
    </comment>
    <comment ref="F230" authorId="0" shapeId="0">
      <text>
        <t>Écart = montant réel - montant prévu</t>
      </text>
    </comment>
    <comment ref="F231" authorId="0" shapeId="0">
      <text>
        <t>Écart = montant réel - montant prévu</t>
      </text>
    </comment>
    <comment ref="F232" authorId="0" shapeId="0">
      <text>
        <t>Écart = montant réel - montant prévu</t>
      </text>
    </comment>
    <comment ref="F233" authorId="0" shapeId="0">
      <text>
        <t>Écart = montant réel - montant prévu</t>
      </text>
    </comment>
    <comment ref="F234" authorId="0" shapeId="0">
      <text>
        <t>Écart = montant réel - montant prévu</t>
      </text>
    </comment>
    <comment ref="F235" authorId="0" shapeId="0">
      <text>
        <t>Écart = montant réel - montant prévu</t>
      </text>
    </comment>
    <comment ref="F236" authorId="0" shapeId="0">
      <text>
        <t>Écart = montant réel - montant prévu</t>
      </text>
    </comment>
    <comment ref="F237" authorId="0" shapeId="0">
      <text>
        <t>Écart = montant réel - montant prévu</t>
      </text>
    </comment>
    <comment ref="F238" authorId="0" shapeId="0">
      <text>
        <t>Écart = montant réel - montant prévu</t>
      </text>
    </comment>
    <comment ref="F239" authorId="0" shapeId="0">
      <text>
        <t>Écart = montant réel - montant prévu</t>
      </text>
    </comment>
    <comment ref="F240" authorId="0" shapeId="0">
      <text>
        <t>Écart = montant réel - montant prévu</t>
      </text>
    </comment>
    <comment ref="F241" authorId="0" shapeId="0">
      <text>
        <t>Écart = montant réel - montant prévu</t>
      </text>
    </comment>
    <comment ref="F242" authorId="0" shapeId="0">
      <text>
        <t>Écart = montant réel - montant prévu</t>
      </text>
    </comment>
    <comment ref="F243" authorId="0" shapeId="0">
      <text>
        <t>Écart = montant réel - montant prévu</t>
      </text>
    </comment>
    <comment ref="F244" authorId="0" shapeId="0">
      <text>
        <t>Écart = montant réel - montant prévu</t>
      </text>
    </comment>
    <comment ref="F245" authorId="0" shapeId="0">
      <text>
        <t>Écart = montant réel - montant prévu</t>
      </text>
    </comment>
    <comment ref="F246" authorId="0" shapeId="0">
      <text>
        <t>Écart = montant réel - montant prévu</t>
      </text>
    </comment>
    <comment ref="F247" authorId="0" shapeId="0">
      <text>
        <t>Écart = montant réel - montant prévu</t>
      </text>
    </comment>
    <comment ref="F248" authorId="0" shapeId="0">
      <text>
        <t>Écart = montant réel - montant prévu</t>
      </text>
    </comment>
    <comment ref="F249" authorId="0" shapeId="0">
      <text>
        <t>Écart = montant réel - montant prévu</t>
      </text>
    </comment>
    <comment ref="F250" authorId="0" shapeId="0">
      <text>
        <t>Écart = montant réel - montant prévu</t>
      </text>
    </comment>
    <comment ref="F251" authorId="0" shapeId="0">
      <text>
        <t>Écart = montant réel - montant prévu</t>
      </text>
    </comment>
    <comment ref="F252" authorId="0" shapeId="0">
      <text>
        <t>Écart = montant réel - montant prévu</t>
      </text>
    </comment>
    <comment ref="F253" authorId="0" shapeId="0">
      <text>
        <t>Écart = montant réel - montant prévu</t>
      </text>
    </comment>
    <comment ref="F254" authorId="0" shapeId="0">
      <text>
        <t>Écart = montant réel - montant prévu</t>
      </text>
    </comment>
    <comment ref="F255" authorId="0" shapeId="0">
      <text>
        <t>Écart = montant réel - montant prévu</t>
      </text>
    </comment>
    <comment ref="F256" authorId="0" shapeId="0">
      <text>
        <t>Écart = montant réel - montant prévu</t>
      </text>
    </comment>
    <comment ref="F257" authorId="0" shapeId="0">
      <text>
        <t>Écart = montant réel - montant prévu</t>
      </text>
    </comment>
    <comment ref="F258" authorId="0" shapeId="0">
      <text>
        <t>Écart = montant réel - montant prévu</t>
      </text>
    </comment>
    <comment ref="F259" authorId="0" shapeId="0">
      <text>
        <t>Écart = montant réel - montant prévu</t>
      </text>
    </comment>
    <comment ref="F260" authorId="0" shapeId="0">
      <text>
        <t>Écart = montant réel - montant prévu</t>
      </text>
    </comment>
    <comment ref="F261" authorId="0" shapeId="0">
      <text>
        <t>Écart = montant réel - montant prévu</t>
      </text>
    </comment>
    <comment ref="F262" authorId="0" shapeId="0">
      <text>
        <t>Écart = montant réel - montant prévu</t>
      </text>
    </comment>
    <comment ref="F263" authorId="0" shapeId="0">
      <text>
        <t>Écart = montant réel - montant prévu</t>
      </text>
    </comment>
    <comment ref="F264" authorId="0" shapeId="0">
      <text>
        <t>Écart = montant réel - montant prévu</t>
      </text>
    </comment>
    <comment ref="F265" authorId="0" shapeId="0">
      <text>
        <t>Écart = montant réel - montant prévu</t>
      </text>
    </comment>
    <comment ref="F266" authorId="0" shapeId="0">
      <text>
        <t>Écart = montant réel - montant prévu</t>
      </text>
    </comment>
    <comment ref="F267" authorId="0" shapeId="0">
      <text>
        <t>Écart = montant réel - montant prévu</t>
      </text>
    </comment>
    <comment ref="F268" authorId="0" shapeId="0">
      <text>
        <t>Écart = montant réel - montant prévu</t>
      </text>
    </comment>
    <comment ref="F269" authorId="0" shapeId="0">
      <text>
        <t>Écart = montant réel - montant prévu</t>
      </text>
    </comment>
    <comment ref="F270" authorId="0" shapeId="0">
      <text>
        <t>Écart = montant réel - montant prévu</t>
      </text>
    </comment>
    <comment ref="F271" authorId="0" shapeId="0">
      <text>
        <t>Écart = montant réel - montant prévu</t>
      </text>
    </comment>
    <comment ref="F272" authorId="0" shapeId="0">
      <text>
        <t>Écart = montant réel - montant prévu</t>
      </text>
    </comment>
    <comment ref="F273" authorId="0" shapeId="0">
      <text>
        <t>Écart = montant réel - montant prévu</t>
      </text>
    </comment>
    <comment ref="F274" authorId="0" shapeId="0">
      <text>
        <t>Écart = montant réel - montant prévu</t>
      </text>
    </comment>
    <comment ref="F275" authorId="0" shapeId="0">
      <text>
        <t>Écart = montant réel - montant prévu</t>
      </text>
    </comment>
    <comment ref="F276" authorId="0" shapeId="0">
      <text>
        <t>Écart = montant réel - montant prévu</t>
      </text>
    </comment>
    <comment ref="F277" authorId="0" shapeId="0">
      <text>
        <t>Écart = montant réel - montant prévu</t>
      </text>
    </comment>
    <comment ref="F278" authorId="0" shapeId="0">
      <text>
        <t>Écart = montant réel - montant prévu</t>
      </text>
    </comment>
    <comment ref="F279" authorId="0" shapeId="0">
      <text>
        <t>Écart = montant réel - montant prévu</t>
      </text>
    </comment>
    <comment ref="F280" authorId="0" shapeId="0">
      <text>
        <t>Écart = montant réel - montant prévu</t>
      </text>
    </comment>
    <comment ref="F281" authorId="0" shapeId="0">
      <text>
        <t>Écart = montant réel - montant prévu</t>
      </text>
    </comment>
    <comment ref="F282" authorId="0" shapeId="0">
      <text>
        <t>Écart = montant réel - montant prévu</t>
      </text>
    </comment>
    <comment ref="F283" authorId="0" shapeId="0">
      <text>
        <t>Écart = montant réel - montant prévu</t>
      </text>
    </comment>
    <comment ref="F284" authorId="0" shapeId="0">
      <text>
        <t>Écart = montant réel - montant prévu</t>
      </text>
    </comment>
    <comment ref="F285" authorId="0" shapeId="0">
      <text>
        <t>Écart = montant réel - montant prévu</t>
      </text>
    </comment>
    <comment ref="F286" authorId="0" shapeId="0">
      <text>
        <t>Écart = montant réel - montant prévu</t>
      </text>
    </comment>
    <comment ref="F287" authorId="0" shapeId="0">
      <text>
        <t>Écart = montant réel - montant prévu</t>
      </text>
    </comment>
    <comment ref="F288" authorId="0" shapeId="0">
      <text>
        <t>Écart = montant réel - montant prévu</t>
      </text>
    </comment>
    <comment ref="F289" authorId="0" shapeId="0">
      <text>
        <t>Écart = montant réel - montant prévu</t>
      </text>
    </comment>
    <comment ref="F290" authorId="0" shapeId="0">
      <text>
        <t>Écart = montant réel - montant prévu</t>
      </text>
    </comment>
    <comment ref="F291" authorId="0" shapeId="0">
      <text>
        <t>Écart = montant réel - montant prévu</t>
      </text>
    </comment>
    <comment ref="F292" authorId="0" shapeId="0">
      <text>
        <t>Écart = montant réel - montant prévu</t>
      </text>
    </comment>
    <comment ref="F293" authorId="0" shapeId="0">
      <text>
        <t>Écart = montant réel - montant prévu</t>
      </text>
    </comment>
    <comment ref="F294" authorId="0" shapeId="0">
      <text>
        <t>Écart = montant réel - montant prévu</t>
      </text>
    </comment>
    <comment ref="F295" authorId="0" shapeId="0">
      <text>
        <t>Écart = montant réel - montant prévu</t>
      </text>
    </comment>
    <comment ref="F296" authorId="0" shapeId="0">
      <text>
        <t>Écart = montant réel - montant prévu</t>
      </text>
    </comment>
    <comment ref="F297" authorId="0" shapeId="0">
      <text>
        <t>Écart = montant réel - montant prévu</t>
      </text>
    </comment>
    <comment ref="F298" authorId="0" shapeId="0">
      <text>
        <t>Écart = montant réel - montant prévu</t>
      </text>
    </comment>
    <comment ref="F299" authorId="0" shapeId="0">
      <text>
        <t>Écart = montant réel - montant prévu</t>
      </text>
    </comment>
    <comment ref="F300" authorId="0" shapeId="0">
      <text>
        <t>Écart = montant réel - montant prévu</t>
      </text>
    </comment>
    <comment ref="F301" authorId="0" shapeId="0">
      <text>
        <t>Écart = montant réel - montant prévu</t>
      </text>
    </comment>
    <comment ref="F302" authorId="0" shapeId="0">
      <text>
        <t>Écart = montant réel - montant prévu</t>
      </text>
    </comment>
    <comment ref="F303" authorId="0" shapeId="0">
      <text>
        <t>Écart = montant réel - montant prévu</t>
      </text>
    </comment>
    <comment ref="F304" authorId="0" shapeId="0">
      <text>
        <t>Écart = montant réel - montant prévu</t>
      </text>
    </comment>
    <comment ref="F305" authorId="0" shapeId="0">
      <text>
        <t>Écart = montant réel - montant prévu</t>
      </text>
    </comment>
    <comment ref="F306" authorId="0" shapeId="0">
      <text>
        <t>Écart = montant réel - montant prévu</t>
      </text>
    </comment>
    <comment ref="F307" authorId="0" shapeId="0">
      <text>
        <t>Écart = montant réel - montant prévu</t>
      </text>
    </comment>
    <comment ref="F308" authorId="0" shapeId="0">
      <text>
        <t>Écart = montant réel - montant prévu</t>
      </text>
    </comment>
    <comment ref="F309" authorId="0" shapeId="0">
      <text>
        <t>Écart = montant réel - montant prévu</t>
      </text>
    </comment>
    <comment ref="F310" authorId="0" shapeId="0">
      <text>
        <t>Écart = montant réel - montant prévu</t>
      </text>
    </comment>
    <comment ref="F311" authorId="0" shapeId="0">
      <text>
        <t>Écart = montant réel - montant prévu</t>
      </text>
    </comment>
    <comment ref="F312" authorId="0" shapeId="0">
      <text>
        <t>Écart = montant réel - montant prévu</t>
      </text>
    </comment>
    <comment ref="F313" authorId="0" shapeId="0">
      <text>
        <t>Écart = montant réel - montant prévu</t>
      </text>
    </comment>
    <comment ref="F314" authorId="0" shapeId="0">
      <text>
        <t>Écart = montant réel - montant prévu</t>
      </text>
    </comment>
    <comment ref="F315" authorId="0" shapeId="0">
      <text>
        <t>Écart = montant réel - montant prévu</t>
      </text>
    </comment>
    <comment ref="F316" authorId="0" shapeId="0">
      <text>
        <t>Écart = montant réel - montant prévu</t>
      </text>
    </comment>
    <comment ref="F317" authorId="0" shapeId="0">
      <text>
        <t>Écart = montant réel - montant prévu</t>
      </text>
    </comment>
    <comment ref="F318" authorId="0" shapeId="0">
      <text>
        <t>Écart = montant réel - montant prévu</t>
      </text>
    </comment>
    <comment ref="F319" authorId="0" shapeId="0">
      <text>
        <t>Écart = montant réel - montant prévu</t>
      </text>
    </comment>
    <comment ref="F320" authorId="0" shapeId="0">
      <text>
        <t>Écart = montant réel - montant prévu</t>
      </text>
    </comment>
    <comment ref="F321" authorId="0" shapeId="0">
      <text>
        <t>Écart = montant réel - montant prévu</t>
      </text>
    </comment>
    <comment ref="F322" authorId="0" shapeId="0">
      <text>
        <t>Écart = montant réel - montant prévu</t>
      </text>
    </comment>
    <comment ref="F323" authorId="0" shapeId="0">
      <text>
        <t>Écart = montant réel - montant prévu</t>
      </text>
    </comment>
    <comment ref="F324" authorId="0" shapeId="0">
      <text>
        <t>Écart = montant réel - montant prévu</t>
      </text>
    </comment>
    <comment ref="F325" authorId="0" shapeId="0">
      <text>
        <t>Écart = montant réel - montant prévu</t>
      </text>
    </comment>
    <comment ref="F326" authorId="0" shapeId="0">
      <text>
        <t>Écart = montant réel - montant prévu</t>
      </text>
    </comment>
    <comment ref="F327" authorId="0" shapeId="0">
      <text>
        <t>Écart = montant réel - montant prévu</t>
      </text>
    </comment>
    <comment ref="F328" authorId="0" shapeId="0">
      <text>
        <t>Écart = montant réel - montant prévu</t>
      </text>
    </comment>
    <comment ref="F329" authorId="0" shapeId="0">
      <text>
        <t>Écart = montant réel - montant prévu</t>
      </text>
    </comment>
    <comment ref="F330" authorId="0" shapeId="0">
      <text>
        <t>Écart = montant réel - montant prévu</t>
      </text>
    </comment>
    <comment ref="F331" authorId="0" shapeId="0">
      <text>
        <t>Écart = montant réel - montant prévu</t>
      </text>
    </comment>
    <comment ref="F332" authorId="0" shapeId="0">
      <text>
        <t>Écart = montant réel - montant prévu</t>
      </text>
    </comment>
    <comment ref="F333" authorId="0" shapeId="0">
      <text>
        <t>Écart = montant réel - montant prévu</t>
      </text>
    </comment>
    <comment ref="F334" authorId="0" shapeId="0">
      <text>
        <t>Écart = montant réel - montant prévu</t>
      </text>
    </comment>
    <comment ref="F335" authorId="0" shapeId="0">
      <text>
        <t>Écart = montant réel - montant prévu</t>
      </text>
    </comment>
    <comment ref="F336" authorId="0" shapeId="0">
      <text>
        <t>Écart = montant réel - montant prévu</t>
      </text>
    </comment>
    <comment ref="F337" authorId="0" shapeId="0">
      <text>
        <t>Écart = montant réel - montant prévu</t>
      </text>
    </comment>
    <comment ref="F338" authorId="0" shapeId="0">
      <text>
        <t>Écart = montant réel - montant prévu</t>
      </text>
    </comment>
    <comment ref="F339" authorId="0" shapeId="0">
      <text>
        <t>Écart = montant réel - montant prévu</t>
      </text>
    </comment>
    <comment ref="F340" authorId="0" shapeId="0">
      <text>
        <t>Écart = montant réel - montant prévu</t>
      </text>
    </comment>
    <comment ref="F341" authorId="0" shapeId="0">
      <text>
        <t>Écart = montant réel - montant prévu</t>
      </text>
    </comment>
    <comment ref="F342" authorId="0" shapeId="0">
      <text>
        <t>Écart = montant réel - montant prévu</t>
      </text>
    </comment>
    <comment ref="F343" authorId="0" shapeId="0">
      <text>
        <t>Écart = montant réel - montant prévu</t>
      </text>
    </comment>
    <comment ref="F344" authorId="0" shapeId="0">
      <text>
        <t>Écart = montant réel - montant prévu</t>
      </text>
    </comment>
    <comment ref="F345" authorId="0" shapeId="0">
      <text>
        <t>Écart = montant réel - montant prévu</t>
      </text>
    </comment>
    <comment ref="F346" authorId="0" shapeId="0">
      <text>
        <t>Écart = montant réel - montant prévu</t>
      </text>
    </comment>
    <comment ref="F347" authorId="0" shapeId="0">
      <text>
        <t>Écart = montant réel - montant prévu</t>
      </text>
    </comment>
    <comment ref="F348" authorId="0" shapeId="0">
      <text>
        <t>Écart = montant réel - montant prévu</t>
      </text>
    </comment>
    <comment ref="F349" authorId="0" shapeId="0">
      <text>
        <t>Écart = montant réel - montant prévu</t>
      </text>
    </comment>
    <comment ref="F350" authorId="0" shapeId="0">
      <text>
        <t>Écart = montant réel - montant prévu</t>
      </text>
    </comment>
    <comment ref="F351" authorId="0" shapeId="0">
      <text>
        <t>Écart = montant réel - montant prévu</t>
      </text>
    </comment>
    <comment ref="F352" authorId="0" shapeId="0">
      <text>
        <t>Écart = montant réel - montant prévu</t>
      </text>
    </comment>
    <comment ref="F353" authorId="0" shapeId="0">
      <text>
        <t>Écart = montant réel - montant prévu</t>
      </text>
    </comment>
    <comment ref="F354" authorId="0" shapeId="0">
      <text>
        <t>Écart = montant réel - montant prévu</t>
      </text>
    </comment>
    <comment ref="F355" authorId="0" shapeId="0">
      <text>
        <t>Écart = montant réel - montant prévu</t>
      </text>
    </comment>
    <comment ref="F356" authorId="0" shapeId="0">
      <text>
        <t>Écart = montant réel - montant prévu</t>
      </text>
    </comment>
    <comment ref="F357" authorId="0" shapeId="0">
      <text>
        <t>Écart = montant réel - montant prévu</t>
      </text>
    </comment>
    <comment ref="F358" authorId="0" shapeId="0">
      <text>
        <t>Écart = montant réel - montant prévu</t>
      </text>
    </comment>
    <comment ref="F359" authorId="0" shapeId="0">
      <text>
        <t>Écart = montant réel - montant prévu</t>
      </text>
    </comment>
    <comment ref="F360" authorId="0" shapeId="0">
      <text>
        <t>Écart = montant réel - montant prévu</t>
      </text>
    </comment>
    <comment ref="F361" authorId="0" shapeId="0">
      <text>
        <t>Écart = montant réel - montant prévu</t>
      </text>
    </comment>
    <comment ref="F362" authorId="0" shapeId="0">
      <text>
        <t>Écart = montant réel - montant prévu</t>
      </text>
    </comment>
    <comment ref="F363" authorId="0" shapeId="0">
      <text>
        <t>Écart = montant réel - montant prévu</t>
      </text>
    </comment>
    <comment ref="F364" authorId="0" shapeId="0">
      <text>
        <t>Écart = montant réel - montant prévu</t>
      </text>
    </comment>
    <comment ref="F365" authorId="0" shapeId="0">
      <text>
        <t>Écart = montant réel - montant prévu</t>
      </text>
    </comment>
    <comment ref="F366" authorId="0" shapeId="0">
      <text>
        <t>Écart = montant réel - montant prévu</t>
      </text>
    </comment>
    <comment ref="F367" authorId="0" shapeId="0">
      <text>
        <t>Écart = montant réel - montant prévu</t>
      </text>
    </comment>
    <comment ref="F368" authorId="0" shapeId="0">
      <text>
        <t>Écart = montant réel - montant prévu</t>
      </text>
    </comment>
    <comment ref="F369" authorId="0" shapeId="0">
      <text>
        <t>Écart = montant réel - montant prévu</t>
      </text>
    </comment>
    <comment ref="F370" authorId="0" shapeId="0">
      <text>
        <t>Écart = montant réel - montant prévu</t>
      </text>
    </comment>
    <comment ref="F371" authorId="0" shapeId="0">
      <text>
        <t>Écart = montant réel - montant prévu</t>
      </text>
    </comment>
    <comment ref="F372" authorId="0" shapeId="0">
      <text>
        <t>Écart = montant réel - montant prévu</t>
      </text>
    </comment>
    <comment ref="F373" authorId="0" shapeId="0">
      <text>
        <t>Écart = montant réel - montant prévu</t>
      </text>
    </comment>
    <comment ref="F374" authorId="0" shapeId="0">
      <text>
        <t>Écart = montant réel - montant prévu</t>
      </text>
    </comment>
    <comment ref="F375" authorId="0" shapeId="0">
      <text>
        <t>Écart = montant réel - montant prévu</t>
      </text>
    </comment>
    <comment ref="F376" authorId="0" shapeId="0">
      <text>
        <t>Écart = montant réel - montant prévu</t>
      </text>
    </comment>
    <comment ref="F377" authorId="0" shapeId="0">
      <text>
        <t>Écart = montant réel - montant prévu</t>
      </text>
    </comment>
    <comment ref="F378" authorId="0" shapeId="0">
      <text>
        <t>Écart = montant réel - montant prévu</t>
      </text>
    </comment>
    <comment ref="F379" authorId="0" shapeId="0">
      <text>
        <t>Écart = montant réel - montant prévu</t>
      </text>
    </comment>
    <comment ref="F380" authorId="0" shapeId="0">
      <text>
        <t>Écart = montant réel - montant prévu</t>
      </text>
    </comment>
    <comment ref="F381" authorId="0" shapeId="0">
      <text>
        <t>Écart = montant réel - montant prévu</t>
      </text>
    </comment>
    <comment ref="F382" authorId="0" shapeId="0">
      <text>
        <t>Écart = montant réel - montant prévu</t>
      </text>
    </comment>
    <comment ref="F383" authorId="0" shapeId="0">
      <text>
        <t>Écart = montant réel - montant prévu</t>
      </text>
    </comment>
    <comment ref="F384" authorId="0" shapeId="0">
      <text>
        <t>Écart = montant réel - montant prévu</t>
      </text>
    </comment>
    <comment ref="F385" authorId="0" shapeId="0">
      <text>
        <t>Écart = montant réel - montant prévu</t>
      </text>
    </comment>
    <comment ref="F386" authorId="0" shapeId="0">
      <text>
        <t>Écart = montant réel - montant prévu</t>
      </text>
    </comment>
    <comment ref="F387" authorId="0" shapeId="0">
      <text>
        <t>Écart = montant réel - montant prévu</t>
      </text>
    </comment>
    <comment ref="F388" authorId="0" shapeId="0">
      <text>
        <t>Écart = montant réel - montant prévu</t>
      </text>
    </comment>
    <comment ref="F389" authorId="0" shapeId="0">
      <text>
        <t>Écart = montant réel - montant prévu</t>
      </text>
    </comment>
    <comment ref="F390" authorId="0" shapeId="0">
      <text>
        <t>Écart = montant réel - montant prévu</t>
      </text>
    </comment>
    <comment ref="F391" authorId="0" shapeId="0">
      <text>
        <t>Écart = montant réel - montant prévu</t>
      </text>
    </comment>
    <comment ref="F392" authorId="0" shapeId="0">
      <text>
        <t>Écart = montant réel - montant prévu</t>
      </text>
    </comment>
    <comment ref="F393" authorId="0" shapeId="0">
      <text>
        <t>Écart = montant réel - montant prévu</t>
      </text>
    </comment>
    <comment ref="F394" authorId="0" shapeId="0">
      <text>
        <t>Écart = montant réel - montant prévu</t>
      </text>
    </comment>
    <comment ref="F395" authorId="0" shapeId="0">
      <text>
        <t>Écart = montant réel - montant prévu</t>
      </text>
    </comment>
    <comment ref="F396" authorId="0" shapeId="0">
      <text>
        <t>Écart = montant réel - montant prévu</t>
      </text>
    </comment>
    <comment ref="F397" authorId="0" shapeId="0">
      <text>
        <t>Écart = montant réel - montant prévu</t>
      </text>
    </comment>
    <comment ref="F398" authorId="0" shapeId="0">
      <text>
        <t>Écart = montant réel - montant prévu</t>
      </text>
    </comment>
    <comment ref="F399" authorId="0" shapeId="0">
      <text>
        <t>Écart = montant réel - montant prévu</t>
      </text>
    </comment>
    <comment ref="F400" authorId="0" shapeId="0">
      <text>
        <t>Écart = montant réel - montant prévu</t>
      </text>
    </comment>
    <comment ref="F401" authorId="0" shapeId="0">
      <text>
        <t>Écart = montant réel - montant prévu</t>
      </text>
    </comment>
    <comment ref="F402" authorId="0" shapeId="0">
      <text>
        <t>Écart = montant réel - montant prévu</t>
      </text>
    </comment>
    <comment ref="F403" authorId="0" shapeId="0">
      <text>
        <t>Écart = montant réel - montant prévu</t>
      </text>
    </comment>
    <comment ref="F404" authorId="0" shapeId="0">
      <text>
        <t>Écart = montant réel - montant prévu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twoCellAnchor>
    <from>
      <col>0</col>
      <colOff>0</colOff>
      <row>24</row>
      <rowOff>0</rowOff>
    </from>
    <to>
      <col>2</col>
      <colOff>0</colOff>
      <row>10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0</colOff>
      <row>24</row>
      <rowOff>0</rowOff>
    </from>
    <to>
      <col>2</col>
      <colOff>0</colOff>
      <row>10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42</row>
      <rowOff>0</rowOff>
    </from>
    <to>
      <col>2</col>
      <colOff>0</colOff>
      <row>10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7</col>
      <colOff>0</colOff>
      <row>42</row>
      <rowOff>0</rowOff>
    </from>
    <to>
      <col>2</col>
      <colOff>0</colOff>
      <row>10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Acteurs" displayName="TableActeurs" ref="A4:F104" headerRowCount="1">
  <autoFilter ref="A4:F104"/>
  <tableColumns count="6">
    <tableColumn id="1" name="Rôle"/>
    <tableColumn id="2" name="Nom complet"/>
    <tableColumn id="3" name="Contact"/>
    <tableColumn id="4" name="Entreprise / Fonction"/>
    <tableColumn id="5" name="Présence active"/>
    <tableColumn id="6" name="Observations"/>
  </tableColumns>
  <tableStyleInfo name="TableStyleMedium2" showRowStripes="1"/>
</table>
</file>

<file path=xl/tables/table2.xml><?xml version="1.0" encoding="utf-8"?>
<table xmlns="http://schemas.openxmlformats.org/spreadsheetml/2006/main" id="2" name="TableJournal" displayName="TableJournal" ref="A4:H404" headerRowCount="1">
  <autoFilter ref="A4:H404"/>
  <tableColumns count="8">
    <tableColumn id="1" name="Date"/>
    <tableColumn id="2" name="Travaux réalisés"/>
    <tableColumn id="3" name="Avancement cumulé (%)"/>
    <tableColumn id="4" name="Effectif présent"/>
    <tableColumn id="5" name="Matériel utilisé"/>
    <tableColumn id="6" name="Météo"/>
    <tableColumn id="7" name="Blocage / observation"/>
    <tableColumn id="8" name="Responsable saisie"/>
  </tableColumns>
  <tableStyleInfo name="TableStyleMedium2" showRowStripes="1"/>
</table>
</file>

<file path=xl/tables/table3.xml><?xml version="1.0" encoding="utf-8"?>
<table xmlns="http://schemas.openxmlformats.org/spreadsheetml/2006/main" id="3" name="TableMateriaux" displayName="TableMateriaux" ref="A4:I404" headerRowCount="1">
  <autoFilter ref="A4:I404"/>
  <tableColumns count="9">
    <tableColumn id="1" name="Date"/>
    <tableColumn id="2" name="Type matériau"/>
    <tableColumn id="3" name="Quantité"/>
    <tableColumn id="4" name="Unité"/>
    <tableColumn id="5" name="Mouvement"/>
    <tableColumn id="6" name="Fournisseur"/>
    <tableColumn id="7" name="Réception OK"/>
    <tableColumn id="8" name="Valeur estimée (FCFA)"/>
    <tableColumn id="9" name="Observation"/>
  </tableColumns>
  <tableStyleInfo name="TableStyleMedium2" showRowStripes="1"/>
</table>
</file>

<file path=xl/tables/table4.xml><?xml version="1.0" encoding="utf-8"?>
<table xmlns="http://schemas.openxmlformats.org/spreadsheetml/2006/main" id="4" name="TableFinances" displayName="TableFinances" ref="A4:I404" headerRowCount="1">
  <autoFilter ref="A4:I404"/>
  <tableColumns count="9">
    <tableColumn id="1" name="Date"/>
    <tableColumn id="2" name="Catégorie"/>
    <tableColumn id="3" name="Désignation"/>
    <tableColumn id="4" name="Montant prévu (FCFA)"/>
    <tableColumn id="5" name="Montant réel (FCFA)"/>
    <tableColumn id="6" name="Écart (FCFA)"/>
    <tableColumn id="7" name="Statut paiement"/>
    <tableColumn id="8" name="Bénéficiaire / fournisseur"/>
    <tableColumn id="9" name="Observation"/>
  </tableColumns>
  <tableStyleInfo name="TableStyleMedium2" showRowStripes="1"/>
</table>
</file>

<file path=xl/tables/table5.xml><?xml version="1.0" encoding="utf-8"?>
<table xmlns="http://schemas.openxmlformats.org/spreadsheetml/2006/main" id="5" name="TableEquipements" displayName="TableEquipements" ref="A4:G204" headerRowCount="1">
  <autoFilter ref="A4:G204"/>
  <tableColumns count="7">
    <tableColumn id="1" name="Équipement"/>
    <tableColumn id="2" name="Quantité"/>
    <tableColumn id="3" name="État"/>
    <tableColumn id="4" name="Dernier contrôle"/>
    <tableColumn id="5" name="Panne / anomalie"/>
    <tableColumn id="6" name="Action requise"/>
    <tableColumn id="7" name="Responsable"/>
  </tableColumns>
  <tableStyleInfo name="TableStyleMedium2" showRowStripes="1"/>
</table>
</file>

<file path=xl/tables/table6.xml><?xml version="1.0" encoding="utf-8"?>
<table xmlns="http://schemas.openxmlformats.org/spreadsheetml/2006/main" id="6" name="TableIncidents" displayName="TableIncidents" ref="A4:H204" headerRowCount="1">
  <autoFilter ref="A4:H204"/>
  <tableColumns count="8">
    <tableColumn id="1" name="Date"/>
    <tableColumn id="2" name="Type incident"/>
    <tableColumn id="3" name="Description"/>
    <tableColumn id="4" name="Impact"/>
    <tableColumn id="5" name="Solution apportée"/>
    <tableColumn id="6" name="Responsable"/>
    <tableColumn id="7" name="Date clôture"/>
    <tableColumn id="8" name="Statut"/>
  </tableColumns>
  <tableStyleInfo name="TableStyleMedium2" showRowStripes="1"/>
</table>
</file>

<file path=xl/tables/table7.xml><?xml version="1.0" encoding="utf-8"?>
<table xmlns="http://schemas.openxmlformats.org/spreadsheetml/2006/main" id="7" name="TableQualite" displayName="TableQualite" ref="A4:F204" headerRowCount="1">
  <autoFilter ref="A4:F204"/>
  <tableColumns count="6">
    <tableColumn id="1" name="Date"/>
    <tableColumn id="2" name="Contrôle effectué"/>
    <tableColumn id="3" name="Non-conformité"/>
    <tableColumn id="4" name="Correction / action"/>
    <tableColumn id="5" name="Responsable"/>
    <tableColumn id="6" name="Statut"/>
  </tableColumns>
  <tableStyleInfo name="TableStyleMedium2" showRowStripes="1"/>
</table>
</file>

<file path=xl/tables/table8.xml><?xml version="1.0" encoding="utf-8"?>
<table xmlns="http://schemas.openxmlformats.org/spreadsheetml/2006/main" id="8" name="TableSecurite" displayName="TableSecurite" ref="A4:G204" headerRowCount="1">
  <autoFilter ref="A4:G204"/>
  <tableColumns count="7">
    <tableColumn id="1" name="Date"/>
    <tableColumn id="2" name="Type sécurité"/>
    <tableColumn id="3" name="Description"/>
    <tableColumn id="4" name="Mesures prises"/>
    <tableColumn id="5" name="EPI disponibles"/>
    <tableColumn id="6" name="Responsable"/>
    <tableColumn id="7" name="Statut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Tableau de bord chantier</t>
        </is>
      </c>
    </row>
    <row r="2">
      <c r="A2" s="2" t="inlineStr">
        <is>
          <t>Les indicateurs se mettent à jour automatiquement à partir des feuilles de saisie.</t>
        </is>
      </c>
    </row>
    <row r="4">
      <c r="A4" s="3" t="inlineStr">
        <is>
          <t>Projet</t>
        </is>
      </c>
      <c r="D4" s="3" t="inlineStr">
        <is>
          <t>Code</t>
        </is>
      </c>
      <c r="G4" s="3" t="inlineStr">
        <is>
          <t>Budget prévu</t>
        </is>
      </c>
      <c r="J4" s="3" t="inlineStr">
        <is>
          <t>Dernière MAJ</t>
        </is>
      </c>
      <c r="N4" t="n"/>
    </row>
    <row r="5">
      <c r="A5" s="4">
        <f>Calculs!B2</f>
        <v/>
      </c>
      <c r="D5" s="4">
        <f>Calculs!B3</f>
        <v/>
      </c>
      <c r="G5" s="5">
        <f>Calculs!B4</f>
        <v/>
      </c>
      <c r="J5" s="6">
        <f>Calculs!B6</f>
        <v/>
      </c>
    </row>
    <row r="6"/>
    <row r="8">
      <c r="A8" s="7" t="inlineStr">
        <is>
          <t>Avancement réel</t>
        </is>
      </c>
      <c r="D8" s="7" t="inlineStr">
        <is>
          <t>Avancement cible</t>
        </is>
      </c>
      <c r="G8" s="7" t="inlineStr">
        <is>
          <t>Retard / avance</t>
        </is>
      </c>
      <c r="J8" s="7" t="inlineStr">
        <is>
          <t>Dépenses réelles</t>
        </is>
      </c>
      <c r="M8" s="7" t="inlineStr">
        <is>
          <t>Conso budget</t>
        </is>
      </c>
    </row>
    <row r="9">
      <c r="A9" s="8">
        <f>Calculs!B7</f>
        <v/>
      </c>
      <c r="D9" s="9">
        <f>Calculs!B5</f>
        <v/>
      </c>
      <c r="G9" s="10">
        <f>Calculs!B19</f>
        <v/>
      </c>
      <c r="J9" s="11">
        <f>Calculs!B11</f>
        <v/>
      </c>
      <c r="M9" s="12">
        <f>Calculs!B12</f>
        <v/>
      </c>
    </row>
    <row r="10"/>
    <row r="13">
      <c r="A13" s="7" t="inlineStr">
        <is>
          <t>Effectif moyen</t>
        </is>
      </c>
      <c r="D13" s="7" t="inlineStr">
        <is>
          <t>Jours suivis</t>
        </is>
      </c>
      <c r="G13" s="7" t="inlineStr">
        <is>
          <t>Incidents total</t>
        </is>
      </c>
      <c r="J13" s="7" t="inlineStr">
        <is>
          <t>Non-conformités</t>
        </is>
      </c>
      <c r="M13" s="7" t="inlineStr">
        <is>
          <t>Incidents sécurité</t>
        </is>
      </c>
    </row>
    <row r="14">
      <c r="A14" s="13">
        <f>Calculs!B8</f>
        <v/>
      </c>
      <c r="D14" s="13">
        <f>Calculs!B9</f>
        <v/>
      </c>
      <c r="G14" s="14">
        <f>Calculs!B13</f>
        <v/>
      </c>
      <c r="J14" s="15">
        <f>Calculs!B14</f>
        <v/>
      </c>
      <c r="M14" s="14">
        <f>Calculs!B15</f>
        <v/>
      </c>
    </row>
    <row r="15"/>
    <row r="18">
      <c r="A18" s="16" t="inlineStr">
        <is>
          <t>Lecture rapide</t>
        </is>
      </c>
      <c r="H18" s="16" t="inlineStr">
        <is>
          <t>Alerte budget</t>
        </is>
      </c>
    </row>
    <row r="19">
      <c r="A19" s="17">
        <f>IF(Calculs!B7=0,"Aucun avancement saisi pour le moment.","Avancement actuel : "&amp;TEXT(Calculs!B7,"0.0%")&amp;" | Cible : "&amp;TEXT(Calculs!B5,"0.0%")&amp;" | Écart : "&amp;TEXT(Calculs!B19,"0.0%"))</f>
        <v/>
      </c>
      <c r="H19" s="17">
        <f>IF(Calculs!B12&gt;1,"⚠ Dépenses supérieures au budget prévu.",IF(Calculs!B12&gt;0.8,"Vigilance : plus de 80% du budget consommé.","Budget sous contrôle."))</f>
        <v/>
      </c>
    </row>
    <row r="20"/>
    <row r="21"/>
    <row r="22"/>
    <row r="24">
      <c r="A24" s="18" t="n"/>
      <c r="H24" s="18" t="n"/>
    </row>
    <row r="42">
      <c r="A42" s="18" t="n"/>
      <c r="H42" s="18" t="n"/>
    </row>
  </sheetData>
  <mergeCells count="38">
    <mergeCell ref="D13:F13"/>
    <mergeCell ref="D14:F15"/>
    <mergeCell ref="G13:I13"/>
    <mergeCell ref="D5:F6"/>
    <mergeCell ref="G9:I10"/>
    <mergeCell ref="J14:L15"/>
    <mergeCell ref="M13:O13"/>
    <mergeCell ref="J5:L6"/>
    <mergeCell ref="A9:C10"/>
    <mergeCell ref="J4:L4"/>
    <mergeCell ref="M9:O10"/>
    <mergeCell ref="H18:N18"/>
    <mergeCell ref="A1:N1"/>
    <mergeCell ref="A42:F42"/>
    <mergeCell ref="A8:C8"/>
    <mergeCell ref="D4:F4"/>
    <mergeCell ref="G4:I4"/>
    <mergeCell ref="J9:L10"/>
    <mergeCell ref="M8:O8"/>
    <mergeCell ref="D8:F8"/>
    <mergeCell ref="A4:C4"/>
    <mergeCell ref="A13:C13"/>
    <mergeCell ref="H24:M24"/>
    <mergeCell ref="H42:M42"/>
    <mergeCell ref="A2:N2"/>
    <mergeCell ref="J8:L8"/>
    <mergeCell ref="H19:N22"/>
    <mergeCell ref="A24:F24"/>
    <mergeCell ref="A19:G22"/>
    <mergeCell ref="A18:G18"/>
    <mergeCell ref="G14:I15"/>
    <mergeCell ref="A5:C6"/>
    <mergeCell ref="G5:I6"/>
    <mergeCell ref="J13:L13"/>
    <mergeCell ref="A14:C15"/>
    <mergeCell ref="G8:I8"/>
    <mergeCell ref="M14:O15"/>
    <mergeCell ref="D9:F10"/>
  </mergeCells>
  <conditionalFormatting sqref="G9:I10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M9:N10">
    <cfRule type="cellIs" priority="3" operator="greaterThan" dxfId="0">
      <formula>1</formula>
    </cfRule>
    <cfRule type="cellIs" priority="4" operator="between" dxfId="1">
      <formula>0</formula>
      <formula>1</formula>
    </cfRule>
  </conditionalFormatting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Mode d'emploi — fiche chantier automatisée</t>
        </is>
      </c>
    </row>
    <row r="2">
      <c r="A2" s="2" t="inlineStr">
        <is>
          <t>Objectif : centraliser toutes les infos pour qu'un nouveau responsable reprenne le chantier sans perte d'information.</t>
        </is>
      </c>
    </row>
    <row r="4">
      <c r="A4" s="19" t="inlineStr">
        <is>
          <t>1. Commencer par la feuille Identification</t>
        </is>
      </c>
      <c r="C4" s="20" t="inlineStr">
        <is>
          <t>Renseigne le chantier, les dates, le budget et les objectifs d'avancement.</t>
        </is>
      </c>
    </row>
    <row r="6">
      <c r="A6" s="19" t="inlineStr">
        <is>
          <t>2. Saisir les acteurs</t>
        </is>
      </c>
      <c r="C6" s="20" t="inlineStr">
        <is>
          <t>Ajoute tous les intervenants, rôles et contacts clés.</t>
        </is>
      </c>
    </row>
    <row r="8">
      <c r="A8" s="19" t="inlineStr">
        <is>
          <t>3. Mettre à jour le Journal chaque jour</t>
        </is>
      </c>
      <c r="C8" s="20" t="inlineStr">
        <is>
          <t>Date, travaux réalisés, avancement %, effectif, météo et observations.</t>
        </is>
      </c>
    </row>
    <row r="10">
      <c r="A10" s="19" t="inlineStr">
        <is>
          <t>4. Saisir chaque livraison de matériaux</t>
        </is>
      </c>
      <c r="C10" s="20" t="inlineStr">
        <is>
          <t>Une ligne par livraison ou mouvement important.</t>
        </is>
      </c>
    </row>
    <row r="12">
      <c r="A12" s="19" t="inlineStr">
        <is>
          <t>5. Enregistrer toutes les dépenses</t>
        </is>
      </c>
      <c r="C12" s="20" t="inlineStr">
        <is>
          <t>Utilise la feuille Finances pour garder la traçabilité budgétaire.</t>
        </is>
      </c>
    </row>
    <row r="14">
      <c r="A14" s="19" t="inlineStr">
        <is>
          <t>6. Déclarer les incidents et la sécurité</t>
        </is>
      </c>
      <c r="C14" s="20" t="inlineStr">
        <is>
          <t>Aucun problème ne doit rester oral : tout doit être écrit.</t>
        </is>
      </c>
    </row>
    <row r="16">
      <c r="A16" s="19" t="inlineStr">
        <is>
          <t>7. Lire le Dashboard</t>
        </is>
      </c>
      <c r="C16" s="20" t="inlineStr">
        <is>
          <t>Les indicateurs se mettent à jour automatiquement.</t>
        </is>
      </c>
    </row>
    <row r="20">
      <c r="A20" s="40" t="inlineStr">
        <is>
          <t>Exemple déjà rempli : utilise-le comme modèle, puis remplace les données chantier ligne par ligne.</t>
        </is>
      </c>
      <c r="B20" s="22" t="inlineStr">
        <is>
          <t>Aucun paiement ou validation chantier si la fiche n'est pas à jour.</t>
        </is>
      </c>
    </row>
  </sheetData>
  <mergeCells count="17">
    <mergeCell ref="A4:B4"/>
    <mergeCell ref="C6:H6"/>
    <mergeCell ref="C10:H10"/>
    <mergeCell ref="C16:H16"/>
    <mergeCell ref="A16:B16"/>
    <mergeCell ref="C14:H14"/>
    <mergeCell ref="A2:H2"/>
    <mergeCell ref="A10:B10"/>
    <mergeCell ref="C8:H8"/>
    <mergeCell ref="A14:B14"/>
    <mergeCell ref="C4:H4"/>
    <mergeCell ref="A1:H1"/>
    <mergeCell ref="C12:H12"/>
    <mergeCell ref="A8:B8"/>
    <mergeCell ref="B20:H20"/>
    <mergeCell ref="A6:B6"/>
    <mergeCell ref="A12:B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Fiche d'identification du chantier</t>
        </is>
      </c>
    </row>
    <row r="2">
      <c r="A2" s="2" t="inlineStr">
        <is>
          <t>Les cellules bleues sont à remplir manuellement.</t>
        </is>
      </c>
    </row>
    <row r="4">
      <c r="A4" s="23" t="inlineStr">
        <is>
          <t>Nom du projet</t>
        </is>
      </c>
      <c r="B4" s="24" t="inlineStr">
        <is>
          <t>Construction villa duplex R+1 – Cocody Angré</t>
        </is>
      </c>
    </row>
    <row r="6">
      <c r="A6" s="23" t="inlineStr">
        <is>
          <t>Code chantier</t>
        </is>
      </c>
      <c r="B6" s="24" t="inlineStr">
        <is>
          <t>CH-ANGRE-2026-001</t>
        </is>
      </c>
    </row>
    <row r="8">
      <c r="A8" s="23" t="inlineStr">
        <is>
          <t>Type de chantier</t>
        </is>
      </c>
      <c r="B8" s="24" t="inlineStr">
        <is>
          <t>Construction neuve – villa duplex</t>
        </is>
      </c>
    </row>
    <row r="10">
      <c r="A10" s="23" t="inlineStr">
        <is>
          <t>Localisation précise</t>
        </is>
      </c>
      <c r="B10" s="24" t="inlineStr">
        <is>
          <t>Abidjan, Cocody Angré 8e tranche, lot 245</t>
        </is>
      </c>
    </row>
    <row r="12">
      <c r="A12" s="23" t="inlineStr">
        <is>
          <t>Client / Maître d'ouvrage</t>
        </is>
      </c>
      <c r="B12" s="24" t="inlineStr">
        <is>
          <t>Famille Konan / M. Jean Konan</t>
        </is>
      </c>
    </row>
    <row r="14">
      <c r="A14" s="23" t="inlineStr">
        <is>
          <t>Date de démarrage</t>
        </is>
      </c>
      <c r="B14" s="25" t="n">
        <v>46056</v>
      </c>
    </row>
    <row r="16">
      <c r="A16" s="23" t="inlineStr">
        <is>
          <t>Date prévisionnelle de fin</t>
        </is>
      </c>
      <c r="B16" s="25" t="n">
        <v>46233</v>
      </c>
    </row>
    <row r="18">
      <c r="A18" s="23" t="inlineStr">
        <is>
          <t>Budget global prévu (FCFA)</t>
        </is>
      </c>
      <c r="B18" s="41" t="n">
        <v>85000000</v>
      </c>
    </row>
    <row r="20">
      <c r="A20" s="23" t="inlineStr">
        <is>
          <t>Avancement cible à date (%)</t>
        </is>
      </c>
      <c r="B20" s="27" t="n">
        <v>42</v>
      </c>
    </row>
    <row r="22">
      <c r="A22" s="23" t="inlineStr">
        <is>
          <t>Chef de chantier principal</t>
        </is>
      </c>
      <c r="B22" s="24" t="inlineStr">
        <is>
          <t>Kouassi Yao</t>
        </is>
      </c>
    </row>
    <row r="24">
      <c r="A24" s="23" t="inlineStr">
        <is>
          <t>Conducteur de travaux</t>
        </is>
      </c>
      <c r="B24" s="24" t="inlineStr"/>
    </row>
    <row r="26">
      <c r="A26" s="23" t="inlineStr">
        <is>
          <t>Directeur technique</t>
        </is>
      </c>
      <c r="B26" s="24" t="inlineStr"/>
    </row>
  </sheetData>
  <mergeCells count="14">
    <mergeCell ref="B10:D10"/>
    <mergeCell ref="A2:F2"/>
    <mergeCell ref="B14:D14"/>
    <mergeCell ref="B22:D22"/>
    <mergeCell ref="B8:D8"/>
    <mergeCell ref="A1:F1"/>
    <mergeCell ref="B4:D4"/>
    <mergeCell ref="B26:D26"/>
    <mergeCell ref="B18:D18"/>
    <mergeCell ref="B12:D12"/>
    <mergeCell ref="B6:D6"/>
    <mergeCell ref="B24:D24"/>
    <mergeCell ref="B16:D16"/>
    <mergeCell ref="B20:D20"/>
  </mergeCell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  <col width="16" customWidth="1" min="5" max="5"/>
    <col width="30" customWidth="1" min="6" max="6"/>
  </cols>
  <sheetData>
    <row r="1">
      <c r="A1" s="1" t="inlineStr">
        <is>
          <t>Acteurs du chantier</t>
        </is>
      </c>
    </row>
    <row r="2">
      <c r="A2" s="2" t="inlineStr">
        <is>
          <t>Renseigne l'encadrement, la main d'œuvre et les sous-traitants.</t>
        </is>
      </c>
    </row>
    <row r="4" ht="22" customHeight="1">
      <c r="A4" s="28" t="inlineStr">
        <is>
          <t>Rôle</t>
        </is>
      </c>
      <c r="B4" s="28" t="inlineStr">
        <is>
          <t>Nom complet</t>
        </is>
      </c>
      <c r="C4" s="28" t="inlineStr">
        <is>
          <t>Contact</t>
        </is>
      </c>
      <c r="D4" s="28" t="inlineStr">
        <is>
          <t>Entreprise / Fonction</t>
        </is>
      </c>
      <c r="E4" s="28" t="inlineStr">
        <is>
          <t>Présence active</t>
        </is>
      </c>
      <c r="F4" s="28" t="inlineStr">
        <is>
          <t>Observations</t>
        </is>
      </c>
    </row>
    <row r="5">
      <c r="A5" s="29" t="inlineStr">
        <is>
          <t>Directeur Technique</t>
        </is>
      </c>
      <c r="B5" s="29" t="inlineStr">
        <is>
          <t>M. Yao N'Dri</t>
        </is>
      </c>
      <c r="C5" s="29" t="inlineStr">
        <is>
          <t>07 08 09 10 11</t>
        </is>
      </c>
      <c r="D5" s="29" t="inlineStr">
        <is>
          <t>Direction Technique</t>
        </is>
      </c>
      <c r="E5" s="30" t="inlineStr">
        <is>
          <t>Oui</t>
        </is>
      </c>
      <c r="F5" s="29" t="inlineStr">
        <is>
          <t>Supervision générale</t>
        </is>
      </c>
    </row>
    <row r="6">
      <c r="A6" s="29" t="inlineStr">
        <is>
          <t>Conducteur de travaux</t>
        </is>
      </c>
      <c r="B6" s="29" t="inlineStr">
        <is>
          <t>M. Tano Serge</t>
        </is>
      </c>
      <c r="C6" s="29" t="inlineStr">
        <is>
          <t>01 02 03 04 05</t>
        </is>
      </c>
      <c r="D6" s="29" t="inlineStr">
        <is>
          <t>Conduite des travaux</t>
        </is>
      </c>
      <c r="E6" s="30" t="inlineStr">
        <is>
          <t>Oui</t>
        </is>
      </c>
      <c r="F6" s="29" t="inlineStr">
        <is>
          <t>Présence quotidienne</t>
        </is>
      </c>
    </row>
    <row r="7">
      <c r="A7" s="29" t="inlineStr">
        <is>
          <t>Chef de chantier</t>
        </is>
      </c>
      <c r="B7" s="29" t="inlineStr">
        <is>
          <t>M. Kouassi Yao</t>
        </is>
      </c>
      <c r="C7" s="29" t="inlineStr">
        <is>
          <t>05 44 55 66 77</t>
        </is>
      </c>
      <c r="D7" s="29" t="inlineStr">
        <is>
          <t>Chef de chantier</t>
        </is>
      </c>
      <c r="E7" s="30" t="inlineStr">
        <is>
          <t>Oui</t>
        </is>
      </c>
      <c r="F7" s="29" t="inlineStr">
        <is>
          <t>Responsable exécution</t>
        </is>
      </c>
    </row>
    <row r="8">
      <c r="A8" s="29" t="inlineStr">
        <is>
          <t>Maçon principal</t>
        </is>
      </c>
      <c r="B8" s="29" t="inlineStr">
        <is>
          <t>M. Koffi Hervé</t>
        </is>
      </c>
      <c r="C8" s="29" t="inlineStr">
        <is>
          <t>07 77 88 99 00</t>
        </is>
      </c>
      <c r="D8" s="29" t="inlineStr">
        <is>
          <t>Maçonnerie</t>
        </is>
      </c>
      <c r="E8" s="30" t="inlineStr">
        <is>
          <t>Oui</t>
        </is>
      </c>
      <c r="F8" s="29" t="inlineStr">
        <is>
          <t>Équipe gros œuvre</t>
        </is>
      </c>
    </row>
    <row r="9">
      <c r="A9" s="29" t="inlineStr">
        <is>
          <t>Ferrailleur</t>
        </is>
      </c>
      <c r="B9" s="29" t="inlineStr">
        <is>
          <t>M. Bamba Issa</t>
        </is>
      </c>
      <c r="C9" s="29" t="inlineStr">
        <is>
          <t>01 66 77 88 99</t>
        </is>
      </c>
      <c r="D9" s="29" t="inlineStr">
        <is>
          <t>Ferraillage</t>
        </is>
      </c>
      <c r="E9" s="30" t="inlineStr">
        <is>
          <t>Oui</t>
        </is>
      </c>
      <c r="F9" s="29" t="inlineStr">
        <is>
          <t>Armatures semelles et poteaux</t>
        </is>
      </c>
    </row>
    <row r="10">
      <c r="A10" s="29" t="inlineStr">
        <is>
          <t>Électricien</t>
        </is>
      </c>
      <c r="B10" s="29" t="inlineStr">
        <is>
          <t>M. Traoré Mamadou</t>
        </is>
      </c>
      <c r="C10" s="29" t="inlineStr">
        <is>
          <t>05 11 22 33 44</t>
        </is>
      </c>
      <c r="D10" s="29" t="inlineStr">
        <is>
          <t>Sous-traitant électricité</t>
        </is>
      </c>
      <c r="E10" s="30" t="inlineStr">
        <is>
          <t>Non</t>
        </is>
      </c>
      <c r="F10" s="29" t="inlineStr">
        <is>
          <t>Intervention prévue en phase 2</t>
        </is>
      </c>
    </row>
    <row r="11">
      <c r="A11" s="29" t="inlineStr">
        <is>
          <t>Plombier</t>
        </is>
      </c>
      <c r="B11" s="29" t="inlineStr">
        <is>
          <t>M. N'Guessan Alain</t>
        </is>
      </c>
      <c r="C11" s="29" t="inlineStr">
        <is>
          <t>07 21 31 41 51</t>
        </is>
      </c>
      <c r="D11" s="29" t="inlineStr">
        <is>
          <t>Sous-traitant plomberie</t>
        </is>
      </c>
      <c r="E11" s="30" t="inlineStr">
        <is>
          <t>Non</t>
        </is>
      </c>
      <c r="F11" s="29" t="inlineStr">
        <is>
          <t>Intervention ultérieure</t>
        </is>
      </c>
    </row>
    <row r="12">
      <c r="A12" s="29" t="n"/>
      <c r="B12" s="29" t="n"/>
      <c r="C12" s="29" t="n"/>
      <c r="D12" s="29" t="n"/>
      <c r="E12" s="30" t="n"/>
      <c r="F12" s="29" t="n"/>
    </row>
    <row r="13">
      <c r="A13" s="29" t="n"/>
      <c r="B13" s="29" t="n"/>
      <c r="C13" s="29" t="n"/>
      <c r="D13" s="29" t="n"/>
      <c r="E13" s="30" t="n"/>
      <c r="F13" s="29" t="n"/>
    </row>
    <row r="14">
      <c r="A14" s="29" t="n"/>
      <c r="B14" s="29" t="n"/>
      <c r="C14" s="29" t="n"/>
      <c r="D14" s="29" t="n"/>
      <c r="E14" s="30" t="n"/>
      <c r="F14" s="29" t="n"/>
    </row>
    <row r="15">
      <c r="A15" s="29" t="n"/>
      <c r="B15" s="29" t="n"/>
      <c r="C15" s="29" t="n"/>
      <c r="D15" s="29" t="n"/>
      <c r="E15" s="30" t="n"/>
      <c r="F15" s="29" t="n"/>
    </row>
    <row r="16">
      <c r="A16" s="29" t="n"/>
      <c r="B16" s="29" t="n"/>
      <c r="C16" s="29" t="n"/>
      <c r="D16" s="29" t="n"/>
      <c r="E16" s="30" t="n"/>
      <c r="F16" s="29" t="n"/>
    </row>
    <row r="17">
      <c r="A17" s="29" t="n"/>
      <c r="B17" s="29" t="n"/>
      <c r="C17" s="29" t="n"/>
      <c r="D17" s="29" t="n"/>
      <c r="E17" s="30" t="n"/>
      <c r="F17" s="29" t="n"/>
    </row>
    <row r="18">
      <c r="A18" s="29" t="n"/>
      <c r="B18" s="29" t="n"/>
      <c r="C18" s="29" t="n"/>
      <c r="D18" s="29" t="n"/>
      <c r="E18" s="30" t="n"/>
      <c r="F18" s="29" t="n"/>
    </row>
    <row r="19">
      <c r="A19" s="29" t="n"/>
      <c r="B19" s="29" t="n"/>
      <c r="C19" s="29" t="n"/>
      <c r="D19" s="29" t="n"/>
      <c r="E19" s="30" t="n"/>
      <c r="F19" s="29" t="n"/>
    </row>
    <row r="20">
      <c r="A20" s="29" t="n"/>
      <c r="B20" s="29" t="n"/>
      <c r="C20" s="29" t="n"/>
      <c r="D20" s="29" t="n"/>
      <c r="E20" s="30" t="n"/>
      <c r="F20" s="29" t="n"/>
    </row>
    <row r="21">
      <c r="A21" s="29" t="n"/>
      <c r="B21" s="29" t="n"/>
      <c r="C21" s="29" t="n"/>
      <c r="D21" s="29" t="n"/>
      <c r="E21" s="30" t="n"/>
      <c r="F21" s="29" t="n"/>
    </row>
    <row r="22">
      <c r="A22" s="29" t="n"/>
      <c r="B22" s="29" t="n"/>
      <c r="C22" s="29" t="n"/>
      <c r="D22" s="29" t="n"/>
      <c r="E22" s="30" t="n"/>
      <c r="F22" s="29" t="n"/>
    </row>
    <row r="23">
      <c r="A23" s="29" t="n"/>
      <c r="B23" s="29" t="n"/>
      <c r="C23" s="29" t="n"/>
      <c r="D23" s="29" t="n"/>
      <c r="E23" s="30" t="n"/>
      <c r="F23" s="29" t="n"/>
    </row>
    <row r="24">
      <c r="A24" s="29" t="n"/>
      <c r="B24" s="29" t="n"/>
      <c r="C24" s="29" t="n"/>
      <c r="D24" s="29" t="n"/>
      <c r="E24" s="30" t="n"/>
      <c r="F24" s="29" t="n"/>
    </row>
    <row r="25">
      <c r="A25" s="29" t="n"/>
      <c r="B25" s="29" t="n"/>
      <c r="C25" s="29" t="n"/>
      <c r="D25" s="29" t="n"/>
      <c r="E25" s="30" t="n"/>
      <c r="F25" s="29" t="n"/>
    </row>
    <row r="26">
      <c r="A26" s="29" t="n"/>
      <c r="B26" s="29" t="n"/>
      <c r="C26" s="29" t="n"/>
      <c r="D26" s="29" t="n"/>
      <c r="E26" s="30" t="n"/>
      <c r="F26" s="29" t="n"/>
    </row>
    <row r="27">
      <c r="A27" s="29" t="n"/>
      <c r="B27" s="29" t="n"/>
      <c r="C27" s="29" t="n"/>
      <c r="D27" s="29" t="n"/>
      <c r="E27" s="30" t="n"/>
      <c r="F27" s="29" t="n"/>
    </row>
    <row r="28">
      <c r="A28" s="29" t="n"/>
      <c r="B28" s="29" t="n"/>
      <c r="C28" s="29" t="n"/>
      <c r="D28" s="29" t="n"/>
      <c r="E28" s="30" t="n"/>
      <c r="F28" s="29" t="n"/>
    </row>
    <row r="29">
      <c r="A29" s="29" t="n"/>
      <c r="B29" s="29" t="n"/>
      <c r="C29" s="29" t="n"/>
      <c r="D29" s="29" t="n"/>
      <c r="E29" s="30" t="n"/>
      <c r="F29" s="29" t="n"/>
    </row>
    <row r="30">
      <c r="A30" s="29" t="n"/>
      <c r="B30" s="29" t="n"/>
      <c r="C30" s="29" t="n"/>
      <c r="D30" s="29" t="n"/>
      <c r="E30" s="30" t="n"/>
      <c r="F30" s="29" t="n"/>
    </row>
    <row r="31">
      <c r="A31" s="29" t="n"/>
      <c r="B31" s="29" t="n"/>
      <c r="C31" s="29" t="n"/>
      <c r="D31" s="29" t="n"/>
      <c r="E31" s="30" t="n"/>
      <c r="F31" s="29" t="n"/>
    </row>
    <row r="32">
      <c r="A32" s="29" t="n"/>
      <c r="B32" s="29" t="n"/>
      <c r="C32" s="29" t="n"/>
      <c r="D32" s="29" t="n"/>
      <c r="E32" s="30" t="n"/>
      <c r="F32" s="29" t="n"/>
    </row>
    <row r="33">
      <c r="A33" s="29" t="n"/>
      <c r="B33" s="29" t="n"/>
      <c r="C33" s="29" t="n"/>
      <c r="D33" s="29" t="n"/>
      <c r="E33" s="30" t="n"/>
      <c r="F33" s="29" t="n"/>
    </row>
    <row r="34">
      <c r="A34" s="29" t="n"/>
      <c r="B34" s="29" t="n"/>
      <c r="C34" s="29" t="n"/>
      <c r="D34" s="29" t="n"/>
      <c r="E34" s="30" t="n"/>
      <c r="F34" s="29" t="n"/>
    </row>
    <row r="35">
      <c r="A35" s="29" t="n"/>
      <c r="B35" s="29" t="n"/>
      <c r="C35" s="29" t="n"/>
      <c r="D35" s="29" t="n"/>
      <c r="E35" s="30" t="n"/>
      <c r="F35" s="29" t="n"/>
    </row>
    <row r="36">
      <c r="A36" s="29" t="n"/>
      <c r="B36" s="29" t="n"/>
      <c r="C36" s="29" t="n"/>
      <c r="D36" s="29" t="n"/>
      <c r="E36" s="30" t="n"/>
      <c r="F36" s="29" t="n"/>
    </row>
    <row r="37">
      <c r="A37" s="29" t="n"/>
      <c r="B37" s="29" t="n"/>
      <c r="C37" s="29" t="n"/>
      <c r="D37" s="29" t="n"/>
      <c r="E37" s="30" t="n"/>
      <c r="F37" s="29" t="n"/>
    </row>
    <row r="38">
      <c r="A38" s="29" t="n"/>
      <c r="B38" s="29" t="n"/>
      <c r="C38" s="29" t="n"/>
      <c r="D38" s="29" t="n"/>
      <c r="E38" s="30" t="n"/>
      <c r="F38" s="29" t="n"/>
    </row>
    <row r="39">
      <c r="A39" s="29" t="n"/>
      <c r="B39" s="29" t="n"/>
      <c r="C39" s="29" t="n"/>
      <c r="D39" s="29" t="n"/>
      <c r="E39" s="30" t="n"/>
      <c r="F39" s="29" t="n"/>
    </row>
    <row r="40">
      <c r="A40" s="29" t="n"/>
      <c r="B40" s="29" t="n"/>
      <c r="C40" s="29" t="n"/>
      <c r="D40" s="29" t="n"/>
      <c r="E40" s="30" t="n"/>
      <c r="F40" s="29" t="n"/>
    </row>
    <row r="41">
      <c r="A41" s="29" t="n"/>
      <c r="B41" s="29" t="n"/>
      <c r="C41" s="29" t="n"/>
      <c r="D41" s="29" t="n"/>
      <c r="E41" s="30" t="n"/>
      <c r="F41" s="29" t="n"/>
    </row>
    <row r="42">
      <c r="A42" s="29" t="n"/>
      <c r="B42" s="29" t="n"/>
      <c r="C42" s="29" t="n"/>
      <c r="D42" s="29" t="n"/>
      <c r="E42" s="30" t="n"/>
      <c r="F42" s="29" t="n"/>
    </row>
    <row r="43">
      <c r="A43" s="29" t="n"/>
      <c r="B43" s="29" t="n"/>
      <c r="C43" s="29" t="n"/>
      <c r="D43" s="29" t="n"/>
      <c r="E43" s="30" t="n"/>
      <c r="F43" s="29" t="n"/>
    </row>
    <row r="44">
      <c r="A44" s="29" t="n"/>
      <c r="B44" s="29" t="n"/>
      <c r="C44" s="29" t="n"/>
      <c r="D44" s="29" t="n"/>
      <c r="E44" s="30" t="n"/>
      <c r="F44" s="29" t="n"/>
    </row>
    <row r="45">
      <c r="A45" s="29" t="n"/>
      <c r="B45" s="29" t="n"/>
      <c r="C45" s="29" t="n"/>
      <c r="D45" s="29" t="n"/>
      <c r="E45" s="30" t="n"/>
      <c r="F45" s="29" t="n"/>
    </row>
    <row r="46">
      <c r="A46" s="29" t="n"/>
      <c r="B46" s="29" t="n"/>
      <c r="C46" s="29" t="n"/>
      <c r="D46" s="29" t="n"/>
      <c r="E46" s="30" t="n"/>
      <c r="F46" s="29" t="n"/>
    </row>
    <row r="47">
      <c r="A47" s="29" t="n"/>
      <c r="B47" s="29" t="n"/>
      <c r="C47" s="29" t="n"/>
      <c r="D47" s="29" t="n"/>
      <c r="E47" s="30" t="n"/>
      <c r="F47" s="29" t="n"/>
    </row>
    <row r="48">
      <c r="A48" s="29" t="n"/>
      <c r="B48" s="29" t="n"/>
      <c r="C48" s="29" t="n"/>
      <c r="D48" s="29" t="n"/>
      <c r="E48" s="30" t="n"/>
      <c r="F48" s="29" t="n"/>
    </row>
    <row r="49">
      <c r="A49" s="29" t="n"/>
      <c r="B49" s="29" t="n"/>
      <c r="C49" s="29" t="n"/>
      <c r="D49" s="29" t="n"/>
      <c r="E49" s="30" t="n"/>
      <c r="F49" s="29" t="n"/>
    </row>
    <row r="50">
      <c r="A50" s="29" t="n"/>
      <c r="B50" s="29" t="n"/>
      <c r="C50" s="29" t="n"/>
      <c r="D50" s="29" t="n"/>
      <c r="E50" s="30" t="n"/>
      <c r="F50" s="29" t="n"/>
    </row>
    <row r="51">
      <c r="A51" s="29" t="n"/>
      <c r="B51" s="29" t="n"/>
      <c r="C51" s="29" t="n"/>
      <c r="D51" s="29" t="n"/>
      <c r="E51" s="30" t="n"/>
      <c r="F51" s="29" t="n"/>
    </row>
    <row r="52">
      <c r="A52" s="29" t="n"/>
      <c r="B52" s="29" t="n"/>
      <c r="C52" s="29" t="n"/>
      <c r="D52" s="29" t="n"/>
      <c r="E52" s="30" t="n"/>
      <c r="F52" s="29" t="n"/>
    </row>
    <row r="53">
      <c r="A53" s="29" t="n"/>
      <c r="B53" s="29" t="n"/>
      <c r="C53" s="29" t="n"/>
      <c r="D53" s="29" t="n"/>
      <c r="E53" s="30" t="n"/>
      <c r="F53" s="29" t="n"/>
    </row>
    <row r="54">
      <c r="A54" s="29" t="n"/>
      <c r="B54" s="29" t="n"/>
      <c r="C54" s="29" t="n"/>
      <c r="D54" s="29" t="n"/>
      <c r="E54" s="30" t="n"/>
      <c r="F54" s="29" t="n"/>
    </row>
    <row r="55">
      <c r="A55" s="29" t="n"/>
      <c r="B55" s="29" t="n"/>
      <c r="C55" s="29" t="n"/>
      <c r="D55" s="29" t="n"/>
      <c r="E55" s="30" t="n"/>
      <c r="F55" s="29" t="n"/>
    </row>
    <row r="56">
      <c r="A56" s="29" t="n"/>
      <c r="B56" s="29" t="n"/>
      <c r="C56" s="29" t="n"/>
      <c r="D56" s="29" t="n"/>
      <c r="E56" s="30" t="n"/>
      <c r="F56" s="29" t="n"/>
    </row>
    <row r="57">
      <c r="A57" s="29" t="n"/>
      <c r="B57" s="29" t="n"/>
      <c r="C57" s="29" t="n"/>
      <c r="D57" s="29" t="n"/>
      <c r="E57" s="30" t="n"/>
      <c r="F57" s="29" t="n"/>
    </row>
    <row r="58">
      <c r="A58" s="29" t="n"/>
      <c r="B58" s="29" t="n"/>
      <c r="C58" s="29" t="n"/>
      <c r="D58" s="29" t="n"/>
      <c r="E58" s="30" t="n"/>
      <c r="F58" s="29" t="n"/>
    </row>
    <row r="59">
      <c r="A59" s="29" t="n"/>
      <c r="B59" s="29" t="n"/>
      <c r="C59" s="29" t="n"/>
      <c r="D59" s="29" t="n"/>
      <c r="E59" s="30" t="n"/>
      <c r="F59" s="29" t="n"/>
    </row>
    <row r="60">
      <c r="A60" s="29" t="n"/>
      <c r="B60" s="29" t="n"/>
      <c r="C60" s="29" t="n"/>
      <c r="D60" s="29" t="n"/>
      <c r="E60" s="30" t="n"/>
      <c r="F60" s="29" t="n"/>
    </row>
    <row r="61">
      <c r="A61" s="29" t="n"/>
      <c r="B61" s="29" t="n"/>
      <c r="C61" s="29" t="n"/>
      <c r="D61" s="29" t="n"/>
      <c r="E61" s="30" t="n"/>
      <c r="F61" s="29" t="n"/>
    </row>
    <row r="62">
      <c r="A62" s="29" t="n"/>
      <c r="B62" s="29" t="n"/>
      <c r="C62" s="29" t="n"/>
      <c r="D62" s="29" t="n"/>
      <c r="E62" s="30" t="n"/>
      <c r="F62" s="29" t="n"/>
    </row>
    <row r="63">
      <c r="A63" s="29" t="n"/>
      <c r="B63" s="29" t="n"/>
      <c r="C63" s="29" t="n"/>
      <c r="D63" s="29" t="n"/>
      <c r="E63" s="30" t="n"/>
      <c r="F63" s="29" t="n"/>
    </row>
    <row r="64">
      <c r="A64" s="29" t="n"/>
      <c r="B64" s="29" t="n"/>
      <c r="C64" s="29" t="n"/>
      <c r="D64" s="29" t="n"/>
      <c r="E64" s="30" t="n"/>
      <c r="F64" s="29" t="n"/>
    </row>
    <row r="65">
      <c r="A65" s="29" t="n"/>
      <c r="B65" s="29" t="n"/>
      <c r="C65" s="29" t="n"/>
      <c r="D65" s="29" t="n"/>
      <c r="E65" s="30" t="n"/>
      <c r="F65" s="29" t="n"/>
    </row>
    <row r="66">
      <c r="A66" s="29" t="n"/>
      <c r="B66" s="29" t="n"/>
      <c r="C66" s="29" t="n"/>
      <c r="D66" s="29" t="n"/>
      <c r="E66" s="30" t="n"/>
      <c r="F66" s="29" t="n"/>
    </row>
    <row r="67">
      <c r="A67" s="29" t="n"/>
      <c r="B67" s="29" t="n"/>
      <c r="C67" s="29" t="n"/>
      <c r="D67" s="29" t="n"/>
      <c r="E67" s="30" t="n"/>
      <c r="F67" s="29" t="n"/>
    </row>
    <row r="68">
      <c r="A68" s="29" t="n"/>
      <c r="B68" s="29" t="n"/>
      <c r="C68" s="29" t="n"/>
      <c r="D68" s="29" t="n"/>
      <c r="E68" s="30" t="n"/>
      <c r="F68" s="29" t="n"/>
    </row>
    <row r="69">
      <c r="A69" s="29" t="n"/>
      <c r="B69" s="29" t="n"/>
      <c r="C69" s="29" t="n"/>
      <c r="D69" s="29" t="n"/>
      <c r="E69" s="30" t="n"/>
      <c r="F69" s="29" t="n"/>
    </row>
    <row r="70">
      <c r="A70" s="29" t="n"/>
      <c r="B70" s="29" t="n"/>
      <c r="C70" s="29" t="n"/>
      <c r="D70" s="29" t="n"/>
      <c r="E70" s="30" t="n"/>
      <c r="F70" s="29" t="n"/>
    </row>
    <row r="71">
      <c r="A71" s="29" t="n"/>
      <c r="B71" s="29" t="n"/>
      <c r="C71" s="29" t="n"/>
      <c r="D71" s="29" t="n"/>
      <c r="E71" s="30" t="n"/>
      <c r="F71" s="29" t="n"/>
    </row>
    <row r="72">
      <c r="A72" s="29" t="n"/>
      <c r="B72" s="29" t="n"/>
      <c r="C72" s="29" t="n"/>
      <c r="D72" s="29" t="n"/>
      <c r="E72" s="30" t="n"/>
      <c r="F72" s="29" t="n"/>
    </row>
    <row r="73">
      <c r="A73" s="29" t="n"/>
      <c r="B73" s="29" t="n"/>
      <c r="C73" s="29" t="n"/>
      <c r="D73" s="29" t="n"/>
      <c r="E73" s="30" t="n"/>
      <c r="F73" s="29" t="n"/>
    </row>
    <row r="74">
      <c r="A74" s="29" t="n"/>
      <c r="B74" s="29" t="n"/>
      <c r="C74" s="29" t="n"/>
      <c r="D74" s="29" t="n"/>
      <c r="E74" s="30" t="n"/>
      <c r="F74" s="29" t="n"/>
    </row>
    <row r="75">
      <c r="A75" s="29" t="n"/>
      <c r="B75" s="29" t="n"/>
      <c r="C75" s="29" t="n"/>
      <c r="D75" s="29" t="n"/>
      <c r="E75" s="30" t="n"/>
      <c r="F75" s="29" t="n"/>
    </row>
    <row r="76">
      <c r="A76" s="29" t="n"/>
      <c r="B76" s="29" t="n"/>
      <c r="C76" s="29" t="n"/>
      <c r="D76" s="29" t="n"/>
      <c r="E76" s="30" t="n"/>
      <c r="F76" s="29" t="n"/>
    </row>
    <row r="77">
      <c r="A77" s="29" t="n"/>
      <c r="B77" s="29" t="n"/>
      <c r="C77" s="29" t="n"/>
      <c r="D77" s="29" t="n"/>
      <c r="E77" s="30" t="n"/>
      <c r="F77" s="29" t="n"/>
    </row>
    <row r="78">
      <c r="A78" s="29" t="n"/>
      <c r="B78" s="29" t="n"/>
      <c r="C78" s="29" t="n"/>
      <c r="D78" s="29" t="n"/>
      <c r="E78" s="30" t="n"/>
      <c r="F78" s="29" t="n"/>
    </row>
    <row r="79">
      <c r="A79" s="29" t="n"/>
      <c r="B79" s="29" t="n"/>
      <c r="C79" s="29" t="n"/>
      <c r="D79" s="29" t="n"/>
      <c r="E79" s="30" t="n"/>
      <c r="F79" s="29" t="n"/>
    </row>
    <row r="80">
      <c r="A80" s="29" t="n"/>
      <c r="B80" s="29" t="n"/>
      <c r="C80" s="29" t="n"/>
      <c r="D80" s="29" t="n"/>
      <c r="E80" s="30" t="n"/>
      <c r="F80" s="29" t="n"/>
    </row>
    <row r="81">
      <c r="A81" s="29" t="n"/>
      <c r="B81" s="29" t="n"/>
      <c r="C81" s="29" t="n"/>
      <c r="D81" s="29" t="n"/>
      <c r="E81" s="30" t="n"/>
      <c r="F81" s="29" t="n"/>
    </row>
    <row r="82">
      <c r="A82" s="29" t="n"/>
      <c r="B82" s="29" t="n"/>
      <c r="C82" s="29" t="n"/>
      <c r="D82" s="29" t="n"/>
      <c r="E82" s="30" t="n"/>
      <c r="F82" s="29" t="n"/>
    </row>
    <row r="83">
      <c r="A83" s="29" t="n"/>
      <c r="B83" s="29" t="n"/>
      <c r="C83" s="29" t="n"/>
      <c r="D83" s="29" t="n"/>
      <c r="E83" s="30" t="n"/>
      <c r="F83" s="29" t="n"/>
    </row>
    <row r="84">
      <c r="A84" s="29" t="n"/>
      <c r="B84" s="29" t="n"/>
      <c r="C84" s="29" t="n"/>
      <c r="D84" s="29" t="n"/>
      <c r="E84" s="30" t="n"/>
      <c r="F84" s="29" t="n"/>
    </row>
    <row r="85">
      <c r="A85" s="29" t="n"/>
      <c r="B85" s="29" t="n"/>
      <c r="C85" s="29" t="n"/>
      <c r="D85" s="29" t="n"/>
      <c r="E85" s="30" t="n"/>
      <c r="F85" s="29" t="n"/>
    </row>
    <row r="86">
      <c r="A86" s="29" t="n"/>
      <c r="B86" s="29" t="n"/>
      <c r="C86" s="29" t="n"/>
      <c r="D86" s="29" t="n"/>
      <c r="E86" s="30" t="n"/>
      <c r="F86" s="29" t="n"/>
    </row>
    <row r="87">
      <c r="A87" s="29" t="n"/>
      <c r="B87" s="29" t="n"/>
      <c r="C87" s="29" t="n"/>
      <c r="D87" s="29" t="n"/>
      <c r="E87" s="30" t="n"/>
      <c r="F87" s="29" t="n"/>
    </row>
    <row r="88">
      <c r="A88" s="29" t="n"/>
      <c r="B88" s="29" t="n"/>
      <c r="C88" s="29" t="n"/>
      <c r="D88" s="29" t="n"/>
      <c r="E88" s="30" t="n"/>
      <c r="F88" s="29" t="n"/>
    </row>
    <row r="89">
      <c r="A89" s="29" t="n"/>
      <c r="B89" s="29" t="n"/>
      <c r="C89" s="29" t="n"/>
      <c r="D89" s="29" t="n"/>
      <c r="E89" s="30" t="n"/>
      <c r="F89" s="29" t="n"/>
    </row>
    <row r="90">
      <c r="A90" s="29" t="n"/>
      <c r="B90" s="29" t="n"/>
      <c r="C90" s="29" t="n"/>
      <c r="D90" s="29" t="n"/>
      <c r="E90" s="30" t="n"/>
      <c r="F90" s="29" t="n"/>
    </row>
    <row r="91">
      <c r="A91" s="29" t="n"/>
      <c r="B91" s="29" t="n"/>
      <c r="C91" s="29" t="n"/>
      <c r="D91" s="29" t="n"/>
      <c r="E91" s="30" t="n"/>
      <c r="F91" s="29" t="n"/>
    </row>
    <row r="92">
      <c r="A92" s="29" t="n"/>
      <c r="B92" s="29" t="n"/>
      <c r="C92" s="29" t="n"/>
      <c r="D92" s="29" t="n"/>
      <c r="E92" s="30" t="n"/>
      <c r="F92" s="29" t="n"/>
    </row>
    <row r="93">
      <c r="A93" s="29" t="n"/>
      <c r="B93" s="29" t="n"/>
      <c r="C93" s="29" t="n"/>
      <c r="D93" s="29" t="n"/>
      <c r="E93" s="30" t="n"/>
      <c r="F93" s="29" t="n"/>
    </row>
    <row r="94">
      <c r="A94" s="29" t="n"/>
      <c r="B94" s="29" t="n"/>
      <c r="C94" s="29" t="n"/>
      <c r="D94" s="29" t="n"/>
      <c r="E94" s="30" t="n"/>
      <c r="F94" s="29" t="n"/>
    </row>
    <row r="95">
      <c r="A95" s="29" t="n"/>
      <c r="B95" s="29" t="n"/>
      <c r="C95" s="29" t="n"/>
      <c r="D95" s="29" t="n"/>
      <c r="E95" s="30" t="n"/>
      <c r="F95" s="29" t="n"/>
    </row>
    <row r="96">
      <c r="A96" s="29" t="n"/>
      <c r="B96" s="29" t="n"/>
      <c r="C96" s="29" t="n"/>
      <c r="D96" s="29" t="n"/>
      <c r="E96" s="30" t="n"/>
      <c r="F96" s="29" t="n"/>
    </row>
    <row r="97">
      <c r="A97" s="29" t="n"/>
      <c r="B97" s="29" t="n"/>
      <c r="C97" s="29" t="n"/>
      <c r="D97" s="29" t="n"/>
      <c r="E97" s="30" t="n"/>
      <c r="F97" s="29" t="n"/>
    </row>
    <row r="98">
      <c r="A98" s="29" t="n"/>
      <c r="B98" s="29" t="n"/>
      <c r="C98" s="29" t="n"/>
      <c r="D98" s="29" t="n"/>
      <c r="E98" s="30" t="n"/>
      <c r="F98" s="29" t="n"/>
    </row>
    <row r="99">
      <c r="A99" s="29" t="n"/>
      <c r="B99" s="29" t="n"/>
      <c r="C99" s="29" t="n"/>
      <c r="D99" s="29" t="n"/>
      <c r="E99" s="30" t="n"/>
      <c r="F99" s="29" t="n"/>
    </row>
    <row r="100">
      <c r="A100" s="29" t="n"/>
      <c r="B100" s="29" t="n"/>
      <c r="C100" s="29" t="n"/>
      <c r="D100" s="29" t="n"/>
      <c r="E100" s="30" t="n"/>
      <c r="F100" s="29" t="n"/>
    </row>
    <row r="101">
      <c r="A101" s="29" t="n"/>
      <c r="B101" s="29" t="n"/>
      <c r="C101" s="29" t="n"/>
      <c r="D101" s="29" t="n"/>
      <c r="E101" s="30" t="n"/>
      <c r="F101" s="29" t="n"/>
    </row>
    <row r="102">
      <c r="A102" s="29" t="n"/>
      <c r="B102" s="29" t="n"/>
      <c r="C102" s="29" t="n"/>
      <c r="D102" s="29" t="n"/>
      <c r="E102" s="30" t="n"/>
      <c r="F102" s="29" t="n"/>
    </row>
    <row r="103">
      <c r="A103" s="29" t="n"/>
      <c r="B103" s="29" t="n"/>
      <c r="C103" s="29" t="n"/>
      <c r="D103" s="29" t="n"/>
      <c r="E103" s="30" t="n"/>
      <c r="F103" s="29" t="n"/>
    </row>
    <row r="104">
      <c r="A104" s="29" t="n"/>
      <c r="B104" s="29" t="n"/>
      <c r="C104" s="29" t="n"/>
      <c r="D104" s="29" t="n"/>
      <c r="E104" s="30" t="n"/>
      <c r="F104" s="29" t="n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6" customWidth="1" min="4" max="4"/>
    <col width="24" customWidth="1" min="5" max="5"/>
    <col width="14" customWidth="1" min="6" max="6"/>
    <col width="30" customWidth="1" min="7" max="7"/>
    <col width="20" customWidth="1" min="8" max="8"/>
  </cols>
  <sheetData>
    <row r="1">
      <c r="A1" s="1" t="inlineStr">
        <is>
          <t>Journal de chantier</t>
        </is>
      </c>
    </row>
    <row r="2">
      <c r="A2" s="2" t="inlineStr">
        <is>
          <t>Une ligne par jour. L'avancement saisi ici alimente le tableau de bord.</t>
        </is>
      </c>
    </row>
    <row r="4" ht="22" customHeight="1">
      <c r="A4" s="28" t="inlineStr">
        <is>
          <t>Date</t>
        </is>
      </c>
      <c r="B4" s="28" t="inlineStr">
        <is>
          <t>Travaux réalisés</t>
        </is>
      </c>
      <c r="C4" s="28" t="inlineStr">
        <is>
          <t>Avancement cumulé (%)</t>
        </is>
      </c>
      <c r="D4" s="28" t="inlineStr">
        <is>
          <t>Effectif présent</t>
        </is>
      </c>
      <c r="E4" s="28" t="inlineStr">
        <is>
          <t>Matériel utilisé</t>
        </is>
      </c>
      <c r="F4" s="28" t="inlineStr">
        <is>
          <t>Météo</t>
        </is>
      </c>
      <c r="G4" s="28" t="inlineStr">
        <is>
          <t>Blocage / observation</t>
        </is>
      </c>
      <c r="H4" s="28" t="inlineStr">
        <is>
          <t>Responsable saisie</t>
        </is>
      </c>
    </row>
    <row r="5">
      <c r="A5" s="31" t="n">
        <v>46056</v>
      </c>
      <c r="B5" s="29" t="inlineStr">
        <is>
          <t>Installation de chantier, nettoyage du site et implantation</t>
        </is>
      </c>
      <c r="C5" s="32" t="n">
        <v>3</v>
      </c>
      <c r="D5" s="33" t="n">
        <v>8</v>
      </c>
      <c r="E5" s="29" t="inlineStr">
        <is>
          <t>Niveau, piquets, pelle, brouette</t>
        </is>
      </c>
      <c r="F5" s="29" t="inlineStr">
        <is>
          <t>Soleil</t>
        </is>
      </c>
      <c r="G5" s="29" t="inlineStr">
        <is>
          <t>RAS</t>
        </is>
      </c>
      <c r="H5" s="29" t="inlineStr">
        <is>
          <t>Tano Serge</t>
        </is>
      </c>
    </row>
    <row r="6">
      <c r="A6" s="31" t="n">
        <v>46061</v>
      </c>
      <c r="B6" s="29" t="inlineStr">
        <is>
          <t>Terrassement et fouilles des semelles</t>
        </is>
      </c>
      <c r="C6" s="32" t="n">
        <v>8</v>
      </c>
      <c r="D6" s="33" t="n">
        <v>11</v>
      </c>
      <c r="E6" s="29" t="inlineStr">
        <is>
          <t>Pelle, pioche, cordeau</t>
        </is>
      </c>
      <c r="F6" s="29" t="inlineStr">
        <is>
          <t>Nuageux</t>
        </is>
      </c>
      <c r="G6" s="29" t="inlineStr">
        <is>
          <t>Sol plus dur que prévu sur zone arrière</t>
        </is>
      </c>
      <c r="H6" s="29" t="inlineStr">
        <is>
          <t>Kouassi Yao</t>
        </is>
      </c>
    </row>
    <row r="7">
      <c r="A7" s="31" t="n">
        <v>46068</v>
      </c>
      <c r="B7" s="29" t="inlineStr">
        <is>
          <t>Ferraillage semelles et longrines</t>
        </is>
      </c>
      <c r="C7" s="32" t="n">
        <v>15</v>
      </c>
      <c r="D7" s="33" t="n">
        <v>12</v>
      </c>
      <c r="E7" s="29" t="inlineStr">
        <is>
          <t>Coupeuse, ligature, tenaille</t>
        </is>
      </c>
      <c r="F7" s="29" t="inlineStr">
        <is>
          <t>Soleil</t>
        </is>
      </c>
      <c r="G7" s="29" t="inlineStr">
        <is>
          <t>Attente partielle de livraison fer HA12</t>
        </is>
      </c>
      <c r="H7" s="29" t="inlineStr">
        <is>
          <t>Kouassi Yao</t>
        </is>
      </c>
    </row>
    <row r="8">
      <c r="A8" s="31" t="n">
        <v>46073</v>
      </c>
      <c r="B8" s="29" t="inlineStr">
        <is>
          <t>Coulage béton de propreté et semelles</t>
        </is>
      </c>
      <c r="C8" s="32" t="n">
        <v>22</v>
      </c>
      <c r="D8" s="33" t="n">
        <v>14</v>
      </c>
      <c r="E8" s="29" t="inlineStr">
        <is>
          <t>Bétonnière, vibreur</t>
        </is>
      </c>
      <c r="F8" s="29" t="inlineStr">
        <is>
          <t>Soleil</t>
        </is>
      </c>
      <c r="G8" s="29" t="inlineStr">
        <is>
          <t>RAS</t>
        </is>
      </c>
      <c r="H8" s="29" t="inlineStr">
        <is>
          <t>Tano Serge</t>
        </is>
      </c>
    </row>
    <row r="9">
      <c r="A9" s="31" t="n">
        <v>46081</v>
      </c>
      <c r="B9" s="29" t="inlineStr">
        <is>
          <t>Élévation soubassement et remblai intérieur</t>
        </is>
      </c>
      <c r="C9" s="32" t="n">
        <v>28</v>
      </c>
      <c r="D9" s="33" t="n">
        <v>13</v>
      </c>
      <c r="E9" s="29" t="inlineStr">
        <is>
          <t>Brouette, dame manuelle</t>
        </is>
      </c>
      <c r="F9" s="29" t="inlineStr">
        <is>
          <t>Soleil</t>
        </is>
      </c>
      <c r="G9" s="29" t="inlineStr">
        <is>
          <t>RAS</t>
        </is>
      </c>
      <c r="H9" s="29" t="inlineStr">
        <is>
          <t>Kouassi Yao</t>
        </is>
      </c>
    </row>
    <row r="10">
      <c r="A10" s="31" t="n">
        <v>46086</v>
      </c>
      <c r="B10" s="29" t="inlineStr">
        <is>
          <t>Montage poteaux RDC et coffrage poutres</t>
        </is>
      </c>
      <c r="C10" s="32" t="n">
        <v>34</v>
      </c>
      <c r="D10" s="33" t="n">
        <v>15</v>
      </c>
      <c r="E10" s="29" t="inlineStr">
        <is>
          <t>Scie, marteau, serre-joints</t>
        </is>
      </c>
      <c r="F10" s="29" t="inlineStr">
        <is>
          <t>Nuageux</t>
        </is>
      </c>
      <c r="G10" s="29" t="inlineStr">
        <is>
          <t>Besoin complément bois de coffrage</t>
        </is>
      </c>
      <c r="H10" s="29" t="inlineStr">
        <is>
          <t>Kouassi Yao</t>
        </is>
      </c>
    </row>
    <row r="11">
      <c r="A11" s="31" t="n">
        <v>46093</v>
      </c>
      <c r="B11" s="29" t="inlineStr">
        <is>
          <t>Coulage poteaux et poutres RDC</t>
        </is>
      </c>
      <c r="C11" s="32" t="n">
        <v>39</v>
      </c>
      <c r="D11" s="33" t="n">
        <v>16</v>
      </c>
      <c r="E11" s="29" t="inlineStr">
        <is>
          <t>Bétonnière, vibreur</t>
        </is>
      </c>
      <c r="F11" s="29" t="inlineStr">
        <is>
          <t>Soleil</t>
        </is>
      </c>
      <c r="G11" s="29" t="inlineStr">
        <is>
          <t>RAS</t>
        </is>
      </c>
      <c r="H11" s="29" t="inlineStr">
        <is>
          <t>Tano Serge</t>
        </is>
      </c>
    </row>
    <row r="12">
      <c r="A12" s="31" t="n">
        <v>46097</v>
      </c>
      <c r="B12" s="29" t="inlineStr">
        <is>
          <t>Préparation dalle RDC et réservations techniques</t>
        </is>
      </c>
      <c r="C12" s="32" t="n">
        <v>41</v>
      </c>
      <c r="D12" s="33" t="n">
        <v>15</v>
      </c>
      <c r="E12" s="29" t="inlineStr">
        <is>
          <t>Treillis, planches, fil à ligaturer</t>
        </is>
      </c>
      <c r="F12" s="29" t="inlineStr">
        <is>
          <t>Soleil</t>
        </is>
      </c>
      <c r="G12" s="29" t="inlineStr">
        <is>
          <t>Prévoir coordination plombier avant coulage</t>
        </is>
      </c>
      <c r="H12" s="29" t="inlineStr">
        <is>
          <t>Kouassi Yao</t>
        </is>
      </c>
    </row>
    <row r="13">
      <c r="A13" s="31" t="n"/>
      <c r="B13" s="29" t="n"/>
      <c r="C13" s="32" t="n"/>
      <c r="D13" s="33" t="n"/>
      <c r="E13" s="29" t="n"/>
      <c r="F13" s="29" t="n"/>
      <c r="G13" s="29" t="n"/>
      <c r="H13" s="29" t="n"/>
    </row>
    <row r="14">
      <c r="A14" s="31" t="n"/>
      <c r="B14" s="29" t="n"/>
      <c r="C14" s="32" t="n"/>
      <c r="D14" s="33" t="n"/>
      <c r="E14" s="29" t="n"/>
      <c r="F14" s="29" t="n"/>
      <c r="G14" s="29" t="n"/>
      <c r="H14" s="29" t="n"/>
    </row>
    <row r="15">
      <c r="A15" s="31" t="n"/>
      <c r="B15" s="29" t="n"/>
      <c r="C15" s="32" t="n"/>
      <c r="D15" s="33" t="n"/>
      <c r="E15" s="29" t="n"/>
      <c r="F15" s="29" t="n"/>
      <c r="G15" s="29" t="n"/>
      <c r="H15" s="29" t="n"/>
    </row>
    <row r="16">
      <c r="A16" s="31" t="n"/>
      <c r="B16" s="29" t="n"/>
      <c r="C16" s="32" t="n"/>
      <c r="D16" s="33" t="n"/>
      <c r="E16" s="29" t="n"/>
      <c r="F16" s="29" t="n"/>
      <c r="G16" s="29" t="n"/>
      <c r="H16" s="29" t="n"/>
    </row>
    <row r="17">
      <c r="A17" s="31" t="n"/>
      <c r="B17" s="29" t="n"/>
      <c r="C17" s="32" t="n"/>
      <c r="D17" s="33" t="n"/>
      <c r="E17" s="29" t="n"/>
      <c r="F17" s="29" t="n"/>
      <c r="G17" s="29" t="n"/>
      <c r="H17" s="29" t="n"/>
    </row>
    <row r="18">
      <c r="A18" s="31" t="n"/>
      <c r="B18" s="29" t="n"/>
      <c r="C18" s="32" t="n"/>
      <c r="D18" s="33" t="n"/>
      <c r="E18" s="29" t="n"/>
      <c r="F18" s="29" t="n"/>
      <c r="G18" s="29" t="n"/>
      <c r="H18" s="29" t="n"/>
    </row>
    <row r="19">
      <c r="A19" s="31" t="n"/>
      <c r="B19" s="29" t="n"/>
      <c r="C19" s="32" t="n"/>
      <c r="D19" s="33" t="n"/>
      <c r="E19" s="29" t="n"/>
      <c r="F19" s="29" t="n"/>
      <c r="G19" s="29" t="n"/>
      <c r="H19" s="29" t="n"/>
    </row>
    <row r="20">
      <c r="A20" s="31" t="n"/>
      <c r="B20" s="29" t="n"/>
      <c r="C20" s="32" t="n"/>
      <c r="D20" s="33" t="n"/>
      <c r="E20" s="29" t="n"/>
      <c r="F20" s="29" t="n"/>
      <c r="G20" s="29" t="n"/>
      <c r="H20" s="29" t="n"/>
    </row>
    <row r="21">
      <c r="A21" s="31" t="n"/>
      <c r="B21" s="29" t="n"/>
      <c r="C21" s="32" t="n"/>
      <c r="D21" s="33" t="n"/>
      <c r="E21" s="29" t="n"/>
      <c r="F21" s="29" t="n"/>
      <c r="G21" s="29" t="n"/>
      <c r="H21" s="29" t="n"/>
    </row>
    <row r="22">
      <c r="A22" s="31" t="n"/>
      <c r="B22" s="29" t="n"/>
      <c r="C22" s="32" t="n"/>
      <c r="D22" s="33" t="n"/>
      <c r="E22" s="29" t="n"/>
      <c r="F22" s="29" t="n"/>
      <c r="G22" s="29" t="n"/>
      <c r="H22" s="29" t="n"/>
    </row>
    <row r="23">
      <c r="A23" s="31" t="n"/>
      <c r="B23" s="29" t="n"/>
      <c r="C23" s="32" t="n"/>
      <c r="D23" s="33" t="n"/>
      <c r="E23" s="29" t="n"/>
      <c r="F23" s="29" t="n"/>
      <c r="G23" s="29" t="n"/>
      <c r="H23" s="29" t="n"/>
    </row>
    <row r="24">
      <c r="A24" s="31" t="n"/>
      <c r="B24" s="29" t="n"/>
      <c r="C24" s="32" t="n"/>
      <c r="D24" s="33" t="n"/>
      <c r="E24" s="29" t="n"/>
      <c r="F24" s="29" t="n"/>
      <c r="G24" s="29" t="n"/>
      <c r="H24" s="29" t="n"/>
    </row>
    <row r="25">
      <c r="A25" s="31" t="n"/>
      <c r="B25" s="29" t="n"/>
      <c r="C25" s="32" t="n"/>
      <c r="D25" s="33" t="n"/>
      <c r="E25" s="29" t="n"/>
      <c r="F25" s="29" t="n"/>
      <c r="G25" s="29" t="n"/>
      <c r="H25" s="29" t="n"/>
    </row>
    <row r="26">
      <c r="A26" s="31" t="n"/>
      <c r="B26" s="29" t="n"/>
      <c r="C26" s="32" t="n"/>
      <c r="D26" s="33" t="n"/>
      <c r="E26" s="29" t="n"/>
      <c r="F26" s="29" t="n"/>
      <c r="G26" s="29" t="n"/>
      <c r="H26" s="29" t="n"/>
    </row>
    <row r="27">
      <c r="A27" s="31" t="n"/>
      <c r="B27" s="29" t="n"/>
      <c r="C27" s="32" t="n"/>
      <c r="D27" s="33" t="n"/>
      <c r="E27" s="29" t="n"/>
      <c r="F27" s="29" t="n"/>
      <c r="G27" s="29" t="n"/>
      <c r="H27" s="29" t="n"/>
    </row>
    <row r="28">
      <c r="A28" s="31" t="n"/>
      <c r="B28" s="29" t="n"/>
      <c r="C28" s="32" t="n"/>
      <c r="D28" s="33" t="n"/>
      <c r="E28" s="29" t="n"/>
      <c r="F28" s="29" t="n"/>
      <c r="G28" s="29" t="n"/>
      <c r="H28" s="29" t="n"/>
    </row>
    <row r="29">
      <c r="A29" s="31" t="n"/>
      <c r="B29" s="29" t="n"/>
      <c r="C29" s="32" t="n"/>
      <c r="D29" s="33" t="n"/>
      <c r="E29" s="29" t="n"/>
      <c r="F29" s="29" t="n"/>
      <c r="G29" s="29" t="n"/>
      <c r="H29" s="29" t="n"/>
    </row>
    <row r="30">
      <c r="A30" s="31" t="n"/>
      <c r="B30" s="29" t="n"/>
      <c r="C30" s="32" t="n"/>
      <c r="D30" s="33" t="n"/>
      <c r="E30" s="29" t="n"/>
      <c r="F30" s="29" t="n"/>
      <c r="G30" s="29" t="n"/>
      <c r="H30" s="29" t="n"/>
    </row>
    <row r="31">
      <c r="A31" s="31" t="n"/>
      <c r="B31" s="29" t="n"/>
      <c r="C31" s="32" t="n"/>
      <c r="D31" s="33" t="n"/>
      <c r="E31" s="29" t="n"/>
      <c r="F31" s="29" t="n"/>
      <c r="G31" s="29" t="n"/>
      <c r="H31" s="29" t="n"/>
    </row>
    <row r="32">
      <c r="A32" s="31" t="n"/>
      <c r="B32" s="29" t="n"/>
      <c r="C32" s="32" t="n"/>
      <c r="D32" s="33" t="n"/>
      <c r="E32" s="29" t="n"/>
      <c r="F32" s="29" t="n"/>
      <c r="G32" s="29" t="n"/>
      <c r="H32" s="29" t="n"/>
    </row>
    <row r="33">
      <c r="A33" s="31" t="n"/>
      <c r="B33" s="29" t="n"/>
      <c r="C33" s="32" t="n"/>
      <c r="D33" s="33" t="n"/>
      <c r="E33" s="29" t="n"/>
      <c r="F33" s="29" t="n"/>
      <c r="G33" s="29" t="n"/>
      <c r="H33" s="29" t="n"/>
    </row>
    <row r="34">
      <c r="A34" s="31" t="n"/>
      <c r="B34" s="29" t="n"/>
      <c r="C34" s="32" t="n"/>
      <c r="D34" s="33" t="n"/>
      <c r="E34" s="29" t="n"/>
      <c r="F34" s="29" t="n"/>
      <c r="G34" s="29" t="n"/>
      <c r="H34" s="29" t="n"/>
    </row>
    <row r="35">
      <c r="A35" s="31" t="n"/>
      <c r="B35" s="29" t="n"/>
      <c r="C35" s="32" t="n"/>
      <c r="D35" s="33" t="n"/>
      <c r="E35" s="29" t="n"/>
      <c r="F35" s="29" t="n"/>
      <c r="G35" s="29" t="n"/>
      <c r="H35" s="29" t="n"/>
    </row>
    <row r="36">
      <c r="A36" s="31" t="n"/>
      <c r="B36" s="29" t="n"/>
      <c r="C36" s="32" t="n"/>
      <c r="D36" s="33" t="n"/>
      <c r="E36" s="29" t="n"/>
      <c r="F36" s="29" t="n"/>
      <c r="G36" s="29" t="n"/>
      <c r="H36" s="29" t="n"/>
    </row>
    <row r="37">
      <c r="A37" s="31" t="n"/>
      <c r="B37" s="29" t="n"/>
      <c r="C37" s="32" t="n"/>
      <c r="D37" s="33" t="n"/>
      <c r="E37" s="29" t="n"/>
      <c r="F37" s="29" t="n"/>
      <c r="G37" s="29" t="n"/>
      <c r="H37" s="29" t="n"/>
    </row>
    <row r="38">
      <c r="A38" s="31" t="n"/>
      <c r="B38" s="29" t="n"/>
      <c r="C38" s="32" t="n"/>
      <c r="D38" s="33" t="n"/>
      <c r="E38" s="29" t="n"/>
      <c r="F38" s="29" t="n"/>
      <c r="G38" s="29" t="n"/>
      <c r="H38" s="29" t="n"/>
    </row>
    <row r="39">
      <c r="A39" s="31" t="n"/>
      <c r="B39" s="29" t="n"/>
      <c r="C39" s="32" t="n"/>
      <c r="D39" s="33" t="n"/>
      <c r="E39" s="29" t="n"/>
      <c r="F39" s="29" t="n"/>
      <c r="G39" s="29" t="n"/>
      <c r="H39" s="29" t="n"/>
    </row>
    <row r="40">
      <c r="A40" s="31" t="n"/>
      <c r="B40" s="29" t="n"/>
      <c r="C40" s="32" t="n"/>
      <c r="D40" s="33" t="n"/>
      <c r="E40" s="29" t="n"/>
      <c r="F40" s="29" t="n"/>
      <c r="G40" s="29" t="n"/>
      <c r="H40" s="29" t="n"/>
    </row>
    <row r="41">
      <c r="A41" s="31" t="n"/>
      <c r="B41" s="29" t="n"/>
      <c r="C41" s="32" t="n"/>
      <c r="D41" s="33" t="n"/>
      <c r="E41" s="29" t="n"/>
      <c r="F41" s="29" t="n"/>
      <c r="G41" s="29" t="n"/>
      <c r="H41" s="29" t="n"/>
    </row>
    <row r="42">
      <c r="A42" s="31" t="n"/>
      <c r="B42" s="29" t="n"/>
      <c r="C42" s="32" t="n"/>
      <c r="D42" s="33" t="n"/>
      <c r="E42" s="29" t="n"/>
      <c r="F42" s="29" t="n"/>
      <c r="G42" s="29" t="n"/>
      <c r="H42" s="29" t="n"/>
    </row>
    <row r="43">
      <c r="A43" s="31" t="n"/>
      <c r="B43" s="29" t="n"/>
      <c r="C43" s="32" t="n"/>
      <c r="D43" s="33" t="n"/>
      <c r="E43" s="29" t="n"/>
      <c r="F43" s="29" t="n"/>
      <c r="G43" s="29" t="n"/>
      <c r="H43" s="29" t="n"/>
    </row>
    <row r="44">
      <c r="A44" s="31" t="n"/>
      <c r="B44" s="29" t="n"/>
      <c r="C44" s="32" t="n"/>
      <c r="D44" s="33" t="n"/>
      <c r="E44" s="29" t="n"/>
      <c r="F44" s="29" t="n"/>
      <c r="G44" s="29" t="n"/>
      <c r="H44" s="29" t="n"/>
    </row>
    <row r="45">
      <c r="A45" s="31" t="n"/>
      <c r="B45" s="29" t="n"/>
      <c r="C45" s="32" t="n"/>
      <c r="D45" s="33" t="n"/>
      <c r="E45" s="29" t="n"/>
      <c r="F45" s="29" t="n"/>
      <c r="G45" s="29" t="n"/>
      <c r="H45" s="29" t="n"/>
    </row>
    <row r="46">
      <c r="A46" s="31" t="n"/>
      <c r="B46" s="29" t="n"/>
      <c r="C46" s="32" t="n"/>
      <c r="D46" s="33" t="n"/>
      <c r="E46" s="29" t="n"/>
      <c r="F46" s="29" t="n"/>
      <c r="G46" s="29" t="n"/>
      <c r="H46" s="29" t="n"/>
    </row>
    <row r="47">
      <c r="A47" s="31" t="n"/>
      <c r="B47" s="29" t="n"/>
      <c r="C47" s="32" t="n"/>
      <c r="D47" s="33" t="n"/>
      <c r="E47" s="29" t="n"/>
      <c r="F47" s="29" t="n"/>
      <c r="G47" s="29" t="n"/>
      <c r="H47" s="29" t="n"/>
    </row>
    <row r="48">
      <c r="A48" s="31" t="n"/>
      <c r="B48" s="29" t="n"/>
      <c r="C48" s="32" t="n"/>
      <c r="D48" s="33" t="n"/>
      <c r="E48" s="29" t="n"/>
      <c r="F48" s="29" t="n"/>
      <c r="G48" s="29" t="n"/>
      <c r="H48" s="29" t="n"/>
    </row>
    <row r="49">
      <c r="A49" s="31" t="n"/>
      <c r="B49" s="29" t="n"/>
      <c r="C49" s="32" t="n"/>
      <c r="D49" s="33" t="n"/>
      <c r="E49" s="29" t="n"/>
      <c r="F49" s="29" t="n"/>
      <c r="G49" s="29" t="n"/>
      <c r="H49" s="29" t="n"/>
    </row>
    <row r="50">
      <c r="A50" s="31" t="n"/>
      <c r="B50" s="29" t="n"/>
      <c r="C50" s="32" t="n"/>
      <c r="D50" s="33" t="n"/>
      <c r="E50" s="29" t="n"/>
      <c r="F50" s="29" t="n"/>
      <c r="G50" s="29" t="n"/>
      <c r="H50" s="29" t="n"/>
    </row>
    <row r="51">
      <c r="A51" s="31" t="n"/>
      <c r="B51" s="29" t="n"/>
      <c r="C51" s="32" t="n"/>
      <c r="D51" s="33" t="n"/>
      <c r="E51" s="29" t="n"/>
      <c r="F51" s="29" t="n"/>
      <c r="G51" s="29" t="n"/>
      <c r="H51" s="29" t="n"/>
    </row>
    <row r="52">
      <c r="A52" s="31" t="n"/>
      <c r="B52" s="29" t="n"/>
      <c r="C52" s="32" t="n"/>
      <c r="D52" s="33" t="n"/>
      <c r="E52" s="29" t="n"/>
      <c r="F52" s="29" t="n"/>
      <c r="G52" s="29" t="n"/>
      <c r="H52" s="29" t="n"/>
    </row>
    <row r="53">
      <c r="A53" s="31" t="n"/>
      <c r="B53" s="29" t="n"/>
      <c r="C53" s="32" t="n"/>
      <c r="D53" s="33" t="n"/>
      <c r="E53" s="29" t="n"/>
      <c r="F53" s="29" t="n"/>
      <c r="G53" s="29" t="n"/>
      <c r="H53" s="29" t="n"/>
    </row>
    <row r="54">
      <c r="A54" s="31" t="n"/>
      <c r="B54" s="29" t="n"/>
      <c r="C54" s="32" t="n"/>
      <c r="D54" s="33" t="n"/>
      <c r="E54" s="29" t="n"/>
      <c r="F54" s="29" t="n"/>
      <c r="G54" s="29" t="n"/>
      <c r="H54" s="29" t="n"/>
    </row>
    <row r="55">
      <c r="A55" s="31" t="n"/>
      <c r="B55" s="29" t="n"/>
      <c r="C55" s="32" t="n"/>
      <c r="D55" s="33" t="n"/>
      <c r="E55" s="29" t="n"/>
      <c r="F55" s="29" t="n"/>
      <c r="G55" s="29" t="n"/>
      <c r="H55" s="29" t="n"/>
    </row>
    <row r="56">
      <c r="A56" s="31" t="n"/>
      <c r="B56" s="29" t="n"/>
      <c r="C56" s="32" t="n"/>
      <c r="D56" s="33" t="n"/>
      <c r="E56" s="29" t="n"/>
      <c r="F56" s="29" t="n"/>
      <c r="G56" s="29" t="n"/>
      <c r="H56" s="29" t="n"/>
    </row>
    <row r="57">
      <c r="A57" s="31" t="n"/>
      <c r="B57" s="29" t="n"/>
      <c r="C57" s="32" t="n"/>
      <c r="D57" s="33" t="n"/>
      <c r="E57" s="29" t="n"/>
      <c r="F57" s="29" t="n"/>
      <c r="G57" s="29" t="n"/>
      <c r="H57" s="29" t="n"/>
    </row>
    <row r="58">
      <c r="A58" s="31" t="n"/>
      <c r="B58" s="29" t="n"/>
      <c r="C58" s="32" t="n"/>
      <c r="D58" s="33" t="n"/>
      <c r="E58" s="29" t="n"/>
      <c r="F58" s="29" t="n"/>
      <c r="G58" s="29" t="n"/>
      <c r="H58" s="29" t="n"/>
    </row>
    <row r="59">
      <c r="A59" s="31" t="n"/>
      <c r="B59" s="29" t="n"/>
      <c r="C59" s="32" t="n"/>
      <c r="D59" s="33" t="n"/>
      <c r="E59" s="29" t="n"/>
      <c r="F59" s="29" t="n"/>
      <c r="G59" s="29" t="n"/>
      <c r="H59" s="29" t="n"/>
    </row>
    <row r="60">
      <c r="A60" s="31" t="n"/>
      <c r="B60" s="29" t="n"/>
      <c r="C60" s="32" t="n"/>
      <c r="D60" s="33" t="n"/>
      <c r="E60" s="29" t="n"/>
      <c r="F60" s="29" t="n"/>
      <c r="G60" s="29" t="n"/>
      <c r="H60" s="29" t="n"/>
    </row>
    <row r="61">
      <c r="A61" s="31" t="n"/>
      <c r="B61" s="29" t="n"/>
      <c r="C61" s="32" t="n"/>
      <c r="D61" s="33" t="n"/>
      <c r="E61" s="29" t="n"/>
      <c r="F61" s="29" t="n"/>
      <c r="G61" s="29" t="n"/>
      <c r="H61" s="29" t="n"/>
    </row>
    <row r="62">
      <c r="A62" s="31" t="n"/>
      <c r="B62" s="29" t="n"/>
      <c r="C62" s="32" t="n"/>
      <c r="D62" s="33" t="n"/>
      <c r="E62" s="29" t="n"/>
      <c r="F62" s="29" t="n"/>
      <c r="G62" s="29" t="n"/>
      <c r="H62" s="29" t="n"/>
    </row>
    <row r="63">
      <c r="A63" s="31" t="n"/>
      <c r="B63" s="29" t="n"/>
      <c r="C63" s="32" t="n"/>
      <c r="D63" s="33" t="n"/>
      <c r="E63" s="29" t="n"/>
      <c r="F63" s="29" t="n"/>
      <c r="G63" s="29" t="n"/>
      <c r="H63" s="29" t="n"/>
    </row>
    <row r="64">
      <c r="A64" s="31" t="n"/>
      <c r="B64" s="29" t="n"/>
      <c r="C64" s="32" t="n"/>
      <c r="D64" s="33" t="n"/>
      <c r="E64" s="29" t="n"/>
      <c r="F64" s="29" t="n"/>
      <c r="G64" s="29" t="n"/>
      <c r="H64" s="29" t="n"/>
    </row>
    <row r="65">
      <c r="A65" s="31" t="n"/>
      <c r="B65" s="29" t="n"/>
      <c r="C65" s="32" t="n"/>
      <c r="D65" s="33" t="n"/>
      <c r="E65" s="29" t="n"/>
      <c r="F65" s="29" t="n"/>
      <c r="G65" s="29" t="n"/>
      <c r="H65" s="29" t="n"/>
    </row>
    <row r="66">
      <c r="A66" s="31" t="n"/>
      <c r="B66" s="29" t="n"/>
      <c r="C66" s="32" t="n"/>
      <c r="D66" s="33" t="n"/>
      <c r="E66" s="29" t="n"/>
      <c r="F66" s="29" t="n"/>
      <c r="G66" s="29" t="n"/>
      <c r="H66" s="29" t="n"/>
    </row>
    <row r="67">
      <c r="A67" s="31" t="n"/>
      <c r="B67" s="29" t="n"/>
      <c r="C67" s="32" t="n"/>
      <c r="D67" s="33" t="n"/>
      <c r="E67" s="29" t="n"/>
      <c r="F67" s="29" t="n"/>
      <c r="G67" s="29" t="n"/>
      <c r="H67" s="29" t="n"/>
    </row>
    <row r="68">
      <c r="A68" s="31" t="n"/>
      <c r="B68" s="29" t="n"/>
      <c r="C68" s="32" t="n"/>
      <c r="D68" s="33" t="n"/>
      <c r="E68" s="29" t="n"/>
      <c r="F68" s="29" t="n"/>
      <c r="G68" s="29" t="n"/>
      <c r="H68" s="29" t="n"/>
    </row>
    <row r="69">
      <c r="A69" s="31" t="n"/>
      <c r="B69" s="29" t="n"/>
      <c r="C69" s="32" t="n"/>
      <c r="D69" s="33" t="n"/>
      <c r="E69" s="29" t="n"/>
      <c r="F69" s="29" t="n"/>
      <c r="G69" s="29" t="n"/>
      <c r="H69" s="29" t="n"/>
    </row>
    <row r="70">
      <c r="A70" s="31" t="n"/>
      <c r="B70" s="29" t="n"/>
      <c r="C70" s="32" t="n"/>
      <c r="D70" s="33" t="n"/>
      <c r="E70" s="29" t="n"/>
      <c r="F70" s="29" t="n"/>
      <c r="G70" s="29" t="n"/>
      <c r="H70" s="29" t="n"/>
    </row>
    <row r="71">
      <c r="A71" s="31" t="n"/>
      <c r="B71" s="29" t="n"/>
      <c r="C71" s="32" t="n"/>
      <c r="D71" s="33" t="n"/>
      <c r="E71" s="29" t="n"/>
      <c r="F71" s="29" t="n"/>
      <c r="G71" s="29" t="n"/>
      <c r="H71" s="29" t="n"/>
    </row>
    <row r="72">
      <c r="A72" s="31" t="n"/>
      <c r="B72" s="29" t="n"/>
      <c r="C72" s="32" t="n"/>
      <c r="D72" s="33" t="n"/>
      <c r="E72" s="29" t="n"/>
      <c r="F72" s="29" t="n"/>
      <c r="G72" s="29" t="n"/>
      <c r="H72" s="29" t="n"/>
    </row>
    <row r="73">
      <c r="A73" s="31" t="n"/>
      <c r="B73" s="29" t="n"/>
      <c r="C73" s="32" t="n"/>
      <c r="D73" s="33" t="n"/>
      <c r="E73" s="29" t="n"/>
      <c r="F73" s="29" t="n"/>
      <c r="G73" s="29" t="n"/>
      <c r="H73" s="29" t="n"/>
    </row>
    <row r="74">
      <c r="A74" s="31" t="n"/>
      <c r="B74" s="29" t="n"/>
      <c r="C74" s="32" t="n"/>
      <c r="D74" s="33" t="n"/>
      <c r="E74" s="29" t="n"/>
      <c r="F74" s="29" t="n"/>
      <c r="G74" s="29" t="n"/>
      <c r="H74" s="29" t="n"/>
    </row>
    <row r="75">
      <c r="A75" s="31" t="n"/>
      <c r="B75" s="29" t="n"/>
      <c r="C75" s="32" t="n"/>
      <c r="D75" s="33" t="n"/>
      <c r="E75" s="29" t="n"/>
      <c r="F75" s="29" t="n"/>
      <c r="G75" s="29" t="n"/>
      <c r="H75" s="29" t="n"/>
    </row>
    <row r="76">
      <c r="A76" s="31" t="n"/>
      <c r="B76" s="29" t="n"/>
      <c r="C76" s="32" t="n"/>
      <c r="D76" s="33" t="n"/>
      <c r="E76" s="29" t="n"/>
      <c r="F76" s="29" t="n"/>
      <c r="G76" s="29" t="n"/>
      <c r="H76" s="29" t="n"/>
    </row>
    <row r="77">
      <c r="A77" s="31" t="n"/>
      <c r="B77" s="29" t="n"/>
      <c r="C77" s="32" t="n"/>
      <c r="D77" s="33" t="n"/>
      <c r="E77" s="29" t="n"/>
      <c r="F77" s="29" t="n"/>
      <c r="G77" s="29" t="n"/>
      <c r="H77" s="29" t="n"/>
    </row>
    <row r="78">
      <c r="A78" s="31" t="n"/>
      <c r="B78" s="29" t="n"/>
      <c r="C78" s="32" t="n"/>
      <c r="D78" s="33" t="n"/>
      <c r="E78" s="29" t="n"/>
      <c r="F78" s="29" t="n"/>
      <c r="G78" s="29" t="n"/>
      <c r="H78" s="29" t="n"/>
    </row>
    <row r="79">
      <c r="A79" s="31" t="n"/>
      <c r="B79" s="29" t="n"/>
      <c r="C79" s="32" t="n"/>
      <c r="D79" s="33" t="n"/>
      <c r="E79" s="29" t="n"/>
      <c r="F79" s="29" t="n"/>
      <c r="G79" s="29" t="n"/>
      <c r="H79" s="29" t="n"/>
    </row>
    <row r="80">
      <c r="A80" s="31" t="n"/>
      <c r="B80" s="29" t="n"/>
      <c r="C80" s="32" t="n"/>
      <c r="D80" s="33" t="n"/>
      <c r="E80" s="29" t="n"/>
      <c r="F80" s="29" t="n"/>
      <c r="G80" s="29" t="n"/>
      <c r="H80" s="29" t="n"/>
    </row>
    <row r="81">
      <c r="A81" s="31" t="n"/>
      <c r="B81" s="29" t="n"/>
      <c r="C81" s="32" t="n"/>
      <c r="D81" s="33" t="n"/>
      <c r="E81" s="29" t="n"/>
      <c r="F81" s="29" t="n"/>
      <c r="G81" s="29" t="n"/>
      <c r="H81" s="29" t="n"/>
    </row>
    <row r="82">
      <c r="A82" s="31" t="n"/>
      <c r="B82" s="29" t="n"/>
      <c r="C82" s="32" t="n"/>
      <c r="D82" s="33" t="n"/>
      <c r="E82" s="29" t="n"/>
      <c r="F82" s="29" t="n"/>
      <c r="G82" s="29" t="n"/>
      <c r="H82" s="29" t="n"/>
    </row>
    <row r="83">
      <c r="A83" s="31" t="n"/>
      <c r="B83" s="29" t="n"/>
      <c r="C83" s="32" t="n"/>
      <c r="D83" s="33" t="n"/>
      <c r="E83" s="29" t="n"/>
      <c r="F83" s="29" t="n"/>
      <c r="G83" s="29" t="n"/>
      <c r="H83" s="29" t="n"/>
    </row>
    <row r="84">
      <c r="A84" s="31" t="n"/>
      <c r="B84" s="29" t="n"/>
      <c r="C84" s="32" t="n"/>
      <c r="D84" s="33" t="n"/>
      <c r="E84" s="29" t="n"/>
      <c r="F84" s="29" t="n"/>
      <c r="G84" s="29" t="n"/>
      <c r="H84" s="29" t="n"/>
    </row>
    <row r="85">
      <c r="A85" s="31" t="n"/>
      <c r="B85" s="29" t="n"/>
      <c r="C85" s="32" t="n"/>
      <c r="D85" s="33" t="n"/>
      <c r="E85" s="29" t="n"/>
      <c r="F85" s="29" t="n"/>
      <c r="G85" s="29" t="n"/>
      <c r="H85" s="29" t="n"/>
    </row>
    <row r="86">
      <c r="A86" s="31" t="n"/>
      <c r="B86" s="29" t="n"/>
      <c r="C86" s="32" t="n"/>
      <c r="D86" s="33" t="n"/>
      <c r="E86" s="29" t="n"/>
      <c r="F86" s="29" t="n"/>
      <c r="G86" s="29" t="n"/>
      <c r="H86" s="29" t="n"/>
    </row>
    <row r="87">
      <c r="A87" s="31" t="n"/>
      <c r="B87" s="29" t="n"/>
      <c r="C87" s="32" t="n"/>
      <c r="D87" s="33" t="n"/>
      <c r="E87" s="29" t="n"/>
      <c r="F87" s="29" t="n"/>
      <c r="G87" s="29" t="n"/>
      <c r="H87" s="29" t="n"/>
    </row>
    <row r="88">
      <c r="A88" s="31" t="n"/>
      <c r="B88" s="29" t="n"/>
      <c r="C88" s="32" t="n"/>
      <c r="D88" s="33" t="n"/>
      <c r="E88" s="29" t="n"/>
      <c r="F88" s="29" t="n"/>
      <c r="G88" s="29" t="n"/>
      <c r="H88" s="29" t="n"/>
    </row>
    <row r="89">
      <c r="A89" s="31" t="n"/>
      <c r="B89" s="29" t="n"/>
      <c r="C89" s="32" t="n"/>
      <c r="D89" s="33" t="n"/>
      <c r="E89" s="29" t="n"/>
      <c r="F89" s="29" t="n"/>
      <c r="G89" s="29" t="n"/>
      <c r="H89" s="29" t="n"/>
    </row>
    <row r="90">
      <c r="A90" s="31" t="n"/>
      <c r="B90" s="29" t="n"/>
      <c r="C90" s="32" t="n"/>
      <c r="D90" s="33" t="n"/>
      <c r="E90" s="29" t="n"/>
      <c r="F90" s="29" t="n"/>
      <c r="G90" s="29" t="n"/>
      <c r="H90" s="29" t="n"/>
    </row>
    <row r="91">
      <c r="A91" s="31" t="n"/>
      <c r="B91" s="29" t="n"/>
      <c r="C91" s="32" t="n"/>
      <c r="D91" s="33" t="n"/>
      <c r="E91" s="29" t="n"/>
      <c r="F91" s="29" t="n"/>
      <c r="G91" s="29" t="n"/>
      <c r="H91" s="29" t="n"/>
    </row>
    <row r="92">
      <c r="A92" s="31" t="n"/>
      <c r="B92" s="29" t="n"/>
      <c r="C92" s="32" t="n"/>
      <c r="D92" s="33" t="n"/>
      <c r="E92" s="29" t="n"/>
      <c r="F92" s="29" t="n"/>
      <c r="G92" s="29" t="n"/>
      <c r="H92" s="29" t="n"/>
    </row>
    <row r="93">
      <c r="A93" s="31" t="n"/>
      <c r="B93" s="29" t="n"/>
      <c r="C93" s="32" t="n"/>
      <c r="D93" s="33" t="n"/>
      <c r="E93" s="29" t="n"/>
      <c r="F93" s="29" t="n"/>
      <c r="G93" s="29" t="n"/>
      <c r="H93" s="29" t="n"/>
    </row>
    <row r="94">
      <c r="A94" s="31" t="n"/>
      <c r="B94" s="29" t="n"/>
      <c r="C94" s="32" t="n"/>
      <c r="D94" s="33" t="n"/>
      <c r="E94" s="29" t="n"/>
      <c r="F94" s="29" t="n"/>
      <c r="G94" s="29" t="n"/>
      <c r="H94" s="29" t="n"/>
    </row>
    <row r="95">
      <c r="A95" s="31" t="n"/>
      <c r="B95" s="29" t="n"/>
      <c r="C95" s="32" t="n"/>
      <c r="D95" s="33" t="n"/>
      <c r="E95" s="29" t="n"/>
      <c r="F95" s="29" t="n"/>
      <c r="G95" s="29" t="n"/>
      <c r="H95" s="29" t="n"/>
    </row>
    <row r="96">
      <c r="A96" s="31" t="n"/>
      <c r="B96" s="29" t="n"/>
      <c r="C96" s="32" t="n"/>
      <c r="D96" s="33" t="n"/>
      <c r="E96" s="29" t="n"/>
      <c r="F96" s="29" t="n"/>
      <c r="G96" s="29" t="n"/>
      <c r="H96" s="29" t="n"/>
    </row>
    <row r="97">
      <c r="A97" s="31" t="n"/>
      <c r="B97" s="29" t="n"/>
      <c r="C97" s="32" t="n"/>
      <c r="D97" s="33" t="n"/>
      <c r="E97" s="29" t="n"/>
      <c r="F97" s="29" t="n"/>
      <c r="G97" s="29" t="n"/>
      <c r="H97" s="29" t="n"/>
    </row>
    <row r="98">
      <c r="A98" s="31" t="n"/>
      <c r="B98" s="29" t="n"/>
      <c r="C98" s="32" t="n"/>
      <c r="D98" s="33" t="n"/>
      <c r="E98" s="29" t="n"/>
      <c r="F98" s="29" t="n"/>
      <c r="G98" s="29" t="n"/>
      <c r="H98" s="29" t="n"/>
    </row>
    <row r="99">
      <c r="A99" s="31" t="n"/>
      <c r="B99" s="29" t="n"/>
      <c r="C99" s="32" t="n"/>
      <c r="D99" s="33" t="n"/>
      <c r="E99" s="29" t="n"/>
      <c r="F99" s="29" t="n"/>
      <c r="G99" s="29" t="n"/>
      <c r="H99" s="29" t="n"/>
    </row>
    <row r="100">
      <c r="A100" s="31" t="n"/>
      <c r="B100" s="29" t="n"/>
      <c r="C100" s="32" t="n"/>
      <c r="D100" s="33" t="n"/>
      <c r="E100" s="29" t="n"/>
      <c r="F100" s="29" t="n"/>
      <c r="G100" s="29" t="n"/>
      <c r="H100" s="29" t="n"/>
    </row>
    <row r="101">
      <c r="A101" s="31" t="n"/>
      <c r="B101" s="29" t="n"/>
      <c r="C101" s="32" t="n"/>
      <c r="D101" s="33" t="n"/>
      <c r="E101" s="29" t="n"/>
      <c r="F101" s="29" t="n"/>
      <c r="G101" s="29" t="n"/>
      <c r="H101" s="29" t="n"/>
    </row>
    <row r="102">
      <c r="A102" s="31" t="n"/>
      <c r="B102" s="29" t="n"/>
      <c r="C102" s="32" t="n"/>
      <c r="D102" s="33" t="n"/>
      <c r="E102" s="29" t="n"/>
      <c r="F102" s="29" t="n"/>
      <c r="G102" s="29" t="n"/>
      <c r="H102" s="29" t="n"/>
    </row>
    <row r="103">
      <c r="A103" s="31" t="n"/>
      <c r="B103" s="29" t="n"/>
      <c r="C103" s="32" t="n"/>
      <c r="D103" s="33" t="n"/>
      <c r="E103" s="29" t="n"/>
      <c r="F103" s="29" t="n"/>
      <c r="G103" s="29" t="n"/>
      <c r="H103" s="29" t="n"/>
    </row>
    <row r="104">
      <c r="A104" s="31" t="n"/>
      <c r="B104" s="29" t="n"/>
      <c r="C104" s="32" t="n"/>
      <c r="D104" s="33" t="n"/>
      <c r="E104" s="29" t="n"/>
      <c r="F104" s="29" t="n"/>
      <c r="G104" s="29" t="n"/>
      <c r="H104" s="29" t="n"/>
    </row>
    <row r="105">
      <c r="A105" s="31" t="n"/>
      <c r="B105" s="29" t="n"/>
      <c r="C105" s="32" t="n"/>
      <c r="D105" s="33" t="n"/>
      <c r="E105" s="29" t="n"/>
      <c r="F105" s="29" t="n"/>
      <c r="G105" s="29" t="n"/>
      <c r="H105" s="29" t="n"/>
    </row>
    <row r="106">
      <c r="A106" s="31" t="n"/>
      <c r="B106" s="29" t="n"/>
      <c r="C106" s="32" t="n"/>
      <c r="D106" s="33" t="n"/>
      <c r="E106" s="29" t="n"/>
      <c r="F106" s="29" t="n"/>
      <c r="G106" s="29" t="n"/>
      <c r="H106" s="29" t="n"/>
    </row>
    <row r="107">
      <c r="A107" s="31" t="n"/>
      <c r="B107" s="29" t="n"/>
      <c r="C107" s="32" t="n"/>
      <c r="D107" s="33" t="n"/>
      <c r="E107" s="29" t="n"/>
      <c r="F107" s="29" t="n"/>
      <c r="G107" s="29" t="n"/>
      <c r="H107" s="29" t="n"/>
    </row>
    <row r="108">
      <c r="A108" s="31" t="n"/>
      <c r="B108" s="29" t="n"/>
      <c r="C108" s="32" t="n"/>
      <c r="D108" s="33" t="n"/>
      <c r="E108" s="29" t="n"/>
      <c r="F108" s="29" t="n"/>
      <c r="G108" s="29" t="n"/>
      <c r="H108" s="29" t="n"/>
    </row>
    <row r="109">
      <c r="A109" s="31" t="n"/>
      <c r="B109" s="29" t="n"/>
      <c r="C109" s="32" t="n"/>
      <c r="D109" s="33" t="n"/>
      <c r="E109" s="29" t="n"/>
      <c r="F109" s="29" t="n"/>
      <c r="G109" s="29" t="n"/>
      <c r="H109" s="29" t="n"/>
    </row>
    <row r="110">
      <c r="A110" s="31" t="n"/>
      <c r="B110" s="29" t="n"/>
      <c r="C110" s="32" t="n"/>
      <c r="D110" s="33" t="n"/>
      <c r="E110" s="29" t="n"/>
      <c r="F110" s="29" t="n"/>
      <c r="G110" s="29" t="n"/>
      <c r="H110" s="29" t="n"/>
    </row>
    <row r="111">
      <c r="A111" s="31" t="n"/>
      <c r="B111" s="29" t="n"/>
      <c r="C111" s="32" t="n"/>
      <c r="D111" s="33" t="n"/>
      <c r="E111" s="29" t="n"/>
      <c r="F111" s="29" t="n"/>
      <c r="G111" s="29" t="n"/>
      <c r="H111" s="29" t="n"/>
    </row>
    <row r="112">
      <c r="A112" s="31" t="n"/>
      <c r="B112" s="29" t="n"/>
      <c r="C112" s="32" t="n"/>
      <c r="D112" s="33" t="n"/>
      <c r="E112" s="29" t="n"/>
      <c r="F112" s="29" t="n"/>
      <c r="G112" s="29" t="n"/>
      <c r="H112" s="29" t="n"/>
    </row>
    <row r="113">
      <c r="A113" s="31" t="n"/>
      <c r="B113" s="29" t="n"/>
      <c r="C113" s="32" t="n"/>
      <c r="D113" s="33" t="n"/>
      <c r="E113" s="29" t="n"/>
      <c r="F113" s="29" t="n"/>
      <c r="G113" s="29" t="n"/>
      <c r="H113" s="29" t="n"/>
    </row>
    <row r="114">
      <c r="A114" s="31" t="n"/>
      <c r="B114" s="29" t="n"/>
      <c r="C114" s="32" t="n"/>
      <c r="D114" s="33" t="n"/>
      <c r="E114" s="29" t="n"/>
      <c r="F114" s="29" t="n"/>
      <c r="G114" s="29" t="n"/>
      <c r="H114" s="29" t="n"/>
    </row>
    <row r="115">
      <c r="A115" s="31" t="n"/>
      <c r="B115" s="29" t="n"/>
      <c r="C115" s="32" t="n"/>
      <c r="D115" s="33" t="n"/>
      <c r="E115" s="29" t="n"/>
      <c r="F115" s="29" t="n"/>
      <c r="G115" s="29" t="n"/>
      <c r="H115" s="29" t="n"/>
    </row>
    <row r="116">
      <c r="A116" s="31" t="n"/>
      <c r="B116" s="29" t="n"/>
      <c r="C116" s="32" t="n"/>
      <c r="D116" s="33" t="n"/>
      <c r="E116" s="29" t="n"/>
      <c r="F116" s="29" t="n"/>
      <c r="G116" s="29" t="n"/>
      <c r="H116" s="29" t="n"/>
    </row>
    <row r="117">
      <c r="A117" s="31" t="n"/>
      <c r="B117" s="29" t="n"/>
      <c r="C117" s="32" t="n"/>
      <c r="D117" s="33" t="n"/>
      <c r="E117" s="29" t="n"/>
      <c r="F117" s="29" t="n"/>
      <c r="G117" s="29" t="n"/>
      <c r="H117" s="29" t="n"/>
    </row>
    <row r="118">
      <c r="A118" s="31" t="n"/>
      <c r="B118" s="29" t="n"/>
      <c r="C118" s="32" t="n"/>
      <c r="D118" s="33" t="n"/>
      <c r="E118" s="29" t="n"/>
      <c r="F118" s="29" t="n"/>
      <c r="G118" s="29" t="n"/>
      <c r="H118" s="29" t="n"/>
    </row>
    <row r="119">
      <c r="A119" s="31" t="n"/>
      <c r="B119" s="29" t="n"/>
      <c r="C119" s="32" t="n"/>
      <c r="D119" s="33" t="n"/>
      <c r="E119" s="29" t="n"/>
      <c r="F119" s="29" t="n"/>
      <c r="G119" s="29" t="n"/>
      <c r="H119" s="29" t="n"/>
    </row>
    <row r="120">
      <c r="A120" s="31" t="n"/>
      <c r="B120" s="29" t="n"/>
      <c r="C120" s="32" t="n"/>
      <c r="D120" s="33" t="n"/>
      <c r="E120" s="29" t="n"/>
      <c r="F120" s="29" t="n"/>
      <c r="G120" s="29" t="n"/>
      <c r="H120" s="29" t="n"/>
    </row>
    <row r="121">
      <c r="A121" s="31" t="n"/>
      <c r="B121" s="29" t="n"/>
      <c r="C121" s="32" t="n"/>
      <c r="D121" s="33" t="n"/>
      <c r="E121" s="29" t="n"/>
      <c r="F121" s="29" t="n"/>
      <c r="G121" s="29" t="n"/>
      <c r="H121" s="29" t="n"/>
    </row>
    <row r="122">
      <c r="A122" s="31" t="n"/>
      <c r="B122" s="29" t="n"/>
      <c r="C122" s="32" t="n"/>
      <c r="D122" s="33" t="n"/>
      <c r="E122" s="29" t="n"/>
      <c r="F122" s="29" t="n"/>
      <c r="G122" s="29" t="n"/>
      <c r="H122" s="29" t="n"/>
    </row>
    <row r="123">
      <c r="A123" s="31" t="n"/>
      <c r="B123" s="29" t="n"/>
      <c r="C123" s="32" t="n"/>
      <c r="D123" s="33" t="n"/>
      <c r="E123" s="29" t="n"/>
      <c r="F123" s="29" t="n"/>
      <c r="G123" s="29" t="n"/>
      <c r="H123" s="29" t="n"/>
    </row>
    <row r="124">
      <c r="A124" s="31" t="n"/>
      <c r="B124" s="29" t="n"/>
      <c r="C124" s="32" t="n"/>
      <c r="D124" s="33" t="n"/>
      <c r="E124" s="29" t="n"/>
      <c r="F124" s="29" t="n"/>
      <c r="G124" s="29" t="n"/>
      <c r="H124" s="29" t="n"/>
    </row>
    <row r="125">
      <c r="A125" s="31" t="n"/>
      <c r="B125" s="29" t="n"/>
      <c r="C125" s="32" t="n"/>
      <c r="D125" s="33" t="n"/>
      <c r="E125" s="29" t="n"/>
      <c r="F125" s="29" t="n"/>
      <c r="G125" s="29" t="n"/>
      <c r="H125" s="29" t="n"/>
    </row>
    <row r="126">
      <c r="A126" s="31" t="n"/>
      <c r="B126" s="29" t="n"/>
      <c r="C126" s="32" t="n"/>
      <c r="D126" s="33" t="n"/>
      <c r="E126" s="29" t="n"/>
      <c r="F126" s="29" t="n"/>
      <c r="G126" s="29" t="n"/>
      <c r="H126" s="29" t="n"/>
    </row>
    <row r="127">
      <c r="A127" s="31" t="n"/>
      <c r="B127" s="29" t="n"/>
      <c r="C127" s="32" t="n"/>
      <c r="D127" s="33" t="n"/>
      <c r="E127" s="29" t="n"/>
      <c r="F127" s="29" t="n"/>
      <c r="G127" s="29" t="n"/>
      <c r="H127" s="29" t="n"/>
    </row>
    <row r="128">
      <c r="A128" s="31" t="n"/>
      <c r="B128" s="29" t="n"/>
      <c r="C128" s="32" t="n"/>
      <c r="D128" s="33" t="n"/>
      <c r="E128" s="29" t="n"/>
      <c r="F128" s="29" t="n"/>
      <c r="G128" s="29" t="n"/>
      <c r="H128" s="29" t="n"/>
    </row>
    <row r="129">
      <c r="A129" s="31" t="n"/>
      <c r="B129" s="29" t="n"/>
      <c r="C129" s="32" t="n"/>
      <c r="D129" s="33" t="n"/>
      <c r="E129" s="29" t="n"/>
      <c r="F129" s="29" t="n"/>
      <c r="G129" s="29" t="n"/>
      <c r="H129" s="29" t="n"/>
    </row>
    <row r="130">
      <c r="A130" s="31" t="n"/>
      <c r="B130" s="29" t="n"/>
      <c r="C130" s="32" t="n"/>
      <c r="D130" s="33" t="n"/>
      <c r="E130" s="29" t="n"/>
      <c r="F130" s="29" t="n"/>
      <c r="G130" s="29" t="n"/>
      <c r="H130" s="29" t="n"/>
    </row>
    <row r="131">
      <c r="A131" s="31" t="n"/>
      <c r="B131" s="29" t="n"/>
      <c r="C131" s="32" t="n"/>
      <c r="D131" s="33" t="n"/>
      <c r="E131" s="29" t="n"/>
      <c r="F131" s="29" t="n"/>
      <c r="G131" s="29" t="n"/>
      <c r="H131" s="29" t="n"/>
    </row>
    <row r="132">
      <c r="A132" s="31" t="n"/>
      <c r="B132" s="29" t="n"/>
      <c r="C132" s="32" t="n"/>
      <c r="D132" s="33" t="n"/>
      <c r="E132" s="29" t="n"/>
      <c r="F132" s="29" t="n"/>
      <c r="G132" s="29" t="n"/>
      <c r="H132" s="29" t="n"/>
    </row>
    <row r="133">
      <c r="A133" s="31" t="n"/>
      <c r="B133" s="29" t="n"/>
      <c r="C133" s="32" t="n"/>
      <c r="D133" s="33" t="n"/>
      <c r="E133" s="29" t="n"/>
      <c r="F133" s="29" t="n"/>
      <c r="G133" s="29" t="n"/>
      <c r="H133" s="29" t="n"/>
    </row>
    <row r="134">
      <c r="A134" s="31" t="n"/>
      <c r="B134" s="29" t="n"/>
      <c r="C134" s="32" t="n"/>
      <c r="D134" s="33" t="n"/>
      <c r="E134" s="29" t="n"/>
      <c r="F134" s="29" t="n"/>
      <c r="G134" s="29" t="n"/>
      <c r="H134" s="29" t="n"/>
    </row>
    <row r="135">
      <c r="A135" s="31" t="n"/>
      <c r="B135" s="29" t="n"/>
      <c r="C135" s="32" t="n"/>
      <c r="D135" s="33" t="n"/>
      <c r="E135" s="29" t="n"/>
      <c r="F135" s="29" t="n"/>
      <c r="G135" s="29" t="n"/>
      <c r="H135" s="29" t="n"/>
    </row>
    <row r="136">
      <c r="A136" s="31" t="n"/>
      <c r="B136" s="29" t="n"/>
      <c r="C136" s="32" t="n"/>
      <c r="D136" s="33" t="n"/>
      <c r="E136" s="29" t="n"/>
      <c r="F136" s="29" t="n"/>
      <c r="G136" s="29" t="n"/>
      <c r="H136" s="29" t="n"/>
    </row>
    <row r="137">
      <c r="A137" s="31" t="n"/>
      <c r="B137" s="29" t="n"/>
      <c r="C137" s="32" t="n"/>
      <c r="D137" s="33" t="n"/>
      <c r="E137" s="29" t="n"/>
      <c r="F137" s="29" t="n"/>
      <c r="G137" s="29" t="n"/>
      <c r="H137" s="29" t="n"/>
    </row>
    <row r="138">
      <c r="A138" s="31" t="n"/>
      <c r="B138" s="29" t="n"/>
      <c r="C138" s="32" t="n"/>
      <c r="D138" s="33" t="n"/>
      <c r="E138" s="29" t="n"/>
      <c r="F138" s="29" t="n"/>
      <c r="G138" s="29" t="n"/>
      <c r="H138" s="29" t="n"/>
    </row>
    <row r="139">
      <c r="A139" s="31" t="n"/>
      <c r="B139" s="29" t="n"/>
      <c r="C139" s="32" t="n"/>
      <c r="D139" s="33" t="n"/>
      <c r="E139" s="29" t="n"/>
      <c r="F139" s="29" t="n"/>
      <c r="G139" s="29" t="n"/>
      <c r="H139" s="29" t="n"/>
    </row>
    <row r="140">
      <c r="A140" s="31" t="n"/>
      <c r="B140" s="29" t="n"/>
      <c r="C140" s="32" t="n"/>
      <c r="D140" s="33" t="n"/>
      <c r="E140" s="29" t="n"/>
      <c r="F140" s="29" t="n"/>
      <c r="G140" s="29" t="n"/>
      <c r="H140" s="29" t="n"/>
    </row>
    <row r="141">
      <c r="A141" s="31" t="n"/>
      <c r="B141" s="29" t="n"/>
      <c r="C141" s="32" t="n"/>
      <c r="D141" s="33" t="n"/>
      <c r="E141" s="29" t="n"/>
      <c r="F141" s="29" t="n"/>
      <c r="G141" s="29" t="n"/>
      <c r="H141" s="29" t="n"/>
    </row>
    <row r="142">
      <c r="A142" s="31" t="n"/>
      <c r="B142" s="29" t="n"/>
      <c r="C142" s="32" t="n"/>
      <c r="D142" s="33" t="n"/>
      <c r="E142" s="29" t="n"/>
      <c r="F142" s="29" t="n"/>
      <c r="G142" s="29" t="n"/>
      <c r="H142" s="29" t="n"/>
    </row>
    <row r="143">
      <c r="A143" s="31" t="n"/>
      <c r="B143" s="29" t="n"/>
      <c r="C143" s="32" t="n"/>
      <c r="D143" s="33" t="n"/>
      <c r="E143" s="29" t="n"/>
      <c r="F143" s="29" t="n"/>
      <c r="G143" s="29" t="n"/>
      <c r="H143" s="29" t="n"/>
    </row>
    <row r="144">
      <c r="A144" s="31" t="n"/>
      <c r="B144" s="29" t="n"/>
      <c r="C144" s="32" t="n"/>
      <c r="D144" s="33" t="n"/>
      <c r="E144" s="29" t="n"/>
      <c r="F144" s="29" t="n"/>
      <c r="G144" s="29" t="n"/>
      <c r="H144" s="29" t="n"/>
    </row>
    <row r="145">
      <c r="A145" s="31" t="n"/>
      <c r="B145" s="29" t="n"/>
      <c r="C145" s="32" t="n"/>
      <c r="D145" s="33" t="n"/>
      <c r="E145" s="29" t="n"/>
      <c r="F145" s="29" t="n"/>
      <c r="G145" s="29" t="n"/>
      <c r="H145" s="29" t="n"/>
    </row>
    <row r="146">
      <c r="A146" s="31" t="n"/>
      <c r="B146" s="29" t="n"/>
      <c r="C146" s="32" t="n"/>
      <c r="D146" s="33" t="n"/>
      <c r="E146" s="29" t="n"/>
      <c r="F146" s="29" t="n"/>
      <c r="G146" s="29" t="n"/>
      <c r="H146" s="29" t="n"/>
    </row>
    <row r="147">
      <c r="A147" s="31" t="n"/>
      <c r="B147" s="29" t="n"/>
      <c r="C147" s="32" t="n"/>
      <c r="D147" s="33" t="n"/>
      <c r="E147" s="29" t="n"/>
      <c r="F147" s="29" t="n"/>
      <c r="G147" s="29" t="n"/>
      <c r="H147" s="29" t="n"/>
    </row>
    <row r="148">
      <c r="A148" s="31" t="n"/>
      <c r="B148" s="29" t="n"/>
      <c r="C148" s="32" t="n"/>
      <c r="D148" s="33" t="n"/>
      <c r="E148" s="29" t="n"/>
      <c r="F148" s="29" t="n"/>
      <c r="G148" s="29" t="n"/>
      <c r="H148" s="29" t="n"/>
    </row>
    <row r="149">
      <c r="A149" s="31" t="n"/>
      <c r="B149" s="29" t="n"/>
      <c r="C149" s="32" t="n"/>
      <c r="D149" s="33" t="n"/>
      <c r="E149" s="29" t="n"/>
      <c r="F149" s="29" t="n"/>
      <c r="G149" s="29" t="n"/>
      <c r="H149" s="29" t="n"/>
    </row>
    <row r="150">
      <c r="A150" s="31" t="n"/>
      <c r="B150" s="29" t="n"/>
      <c r="C150" s="32" t="n"/>
      <c r="D150" s="33" t="n"/>
      <c r="E150" s="29" t="n"/>
      <c r="F150" s="29" t="n"/>
      <c r="G150" s="29" t="n"/>
      <c r="H150" s="29" t="n"/>
    </row>
    <row r="151">
      <c r="A151" s="31" t="n"/>
      <c r="B151" s="29" t="n"/>
      <c r="C151" s="32" t="n"/>
      <c r="D151" s="33" t="n"/>
      <c r="E151" s="29" t="n"/>
      <c r="F151" s="29" t="n"/>
      <c r="G151" s="29" t="n"/>
      <c r="H151" s="29" t="n"/>
    </row>
    <row r="152">
      <c r="A152" s="31" t="n"/>
      <c r="B152" s="29" t="n"/>
      <c r="C152" s="32" t="n"/>
      <c r="D152" s="33" t="n"/>
      <c r="E152" s="29" t="n"/>
      <c r="F152" s="29" t="n"/>
      <c r="G152" s="29" t="n"/>
      <c r="H152" s="29" t="n"/>
    </row>
    <row r="153">
      <c r="A153" s="31" t="n"/>
      <c r="B153" s="29" t="n"/>
      <c r="C153" s="32" t="n"/>
      <c r="D153" s="33" t="n"/>
      <c r="E153" s="29" t="n"/>
      <c r="F153" s="29" t="n"/>
      <c r="G153" s="29" t="n"/>
      <c r="H153" s="29" t="n"/>
    </row>
    <row r="154">
      <c r="A154" s="31" t="n"/>
      <c r="B154" s="29" t="n"/>
      <c r="C154" s="32" t="n"/>
      <c r="D154" s="33" t="n"/>
      <c r="E154" s="29" t="n"/>
      <c r="F154" s="29" t="n"/>
      <c r="G154" s="29" t="n"/>
      <c r="H154" s="29" t="n"/>
    </row>
    <row r="155">
      <c r="A155" s="31" t="n"/>
      <c r="B155" s="29" t="n"/>
      <c r="C155" s="32" t="n"/>
      <c r="D155" s="33" t="n"/>
      <c r="E155" s="29" t="n"/>
      <c r="F155" s="29" t="n"/>
      <c r="G155" s="29" t="n"/>
      <c r="H155" s="29" t="n"/>
    </row>
    <row r="156">
      <c r="A156" s="31" t="n"/>
      <c r="B156" s="29" t="n"/>
      <c r="C156" s="32" t="n"/>
      <c r="D156" s="33" t="n"/>
      <c r="E156" s="29" t="n"/>
      <c r="F156" s="29" t="n"/>
      <c r="G156" s="29" t="n"/>
      <c r="H156" s="29" t="n"/>
    </row>
    <row r="157">
      <c r="A157" s="31" t="n"/>
      <c r="B157" s="29" t="n"/>
      <c r="C157" s="32" t="n"/>
      <c r="D157" s="33" t="n"/>
      <c r="E157" s="29" t="n"/>
      <c r="F157" s="29" t="n"/>
      <c r="G157" s="29" t="n"/>
      <c r="H157" s="29" t="n"/>
    </row>
    <row r="158">
      <c r="A158" s="31" t="n"/>
      <c r="B158" s="29" t="n"/>
      <c r="C158" s="32" t="n"/>
      <c r="D158" s="33" t="n"/>
      <c r="E158" s="29" t="n"/>
      <c r="F158" s="29" t="n"/>
      <c r="G158" s="29" t="n"/>
      <c r="H158" s="29" t="n"/>
    </row>
    <row r="159">
      <c r="A159" s="31" t="n"/>
      <c r="B159" s="29" t="n"/>
      <c r="C159" s="32" t="n"/>
      <c r="D159" s="33" t="n"/>
      <c r="E159" s="29" t="n"/>
      <c r="F159" s="29" t="n"/>
      <c r="G159" s="29" t="n"/>
      <c r="H159" s="29" t="n"/>
    </row>
    <row r="160">
      <c r="A160" s="31" t="n"/>
      <c r="B160" s="29" t="n"/>
      <c r="C160" s="32" t="n"/>
      <c r="D160" s="33" t="n"/>
      <c r="E160" s="29" t="n"/>
      <c r="F160" s="29" t="n"/>
      <c r="G160" s="29" t="n"/>
      <c r="H160" s="29" t="n"/>
    </row>
    <row r="161">
      <c r="A161" s="31" t="n"/>
      <c r="B161" s="29" t="n"/>
      <c r="C161" s="32" t="n"/>
      <c r="D161" s="33" t="n"/>
      <c r="E161" s="29" t="n"/>
      <c r="F161" s="29" t="n"/>
      <c r="G161" s="29" t="n"/>
      <c r="H161" s="29" t="n"/>
    </row>
    <row r="162">
      <c r="A162" s="31" t="n"/>
      <c r="B162" s="29" t="n"/>
      <c r="C162" s="32" t="n"/>
      <c r="D162" s="33" t="n"/>
      <c r="E162" s="29" t="n"/>
      <c r="F162" s="29" t="n"/>
      <c r="G162" s="29" t="n"/>
      <c r="H162" s="29" t="n"/>
    </row>
    <row r="163">
      <c r="A163" s="31" t="n"/>
      <c r="B163" s="29" t="n"/>
      <c r="C163" s="32" t="n"/>
      <c r="D163" s="33" t="n"/>
      <c r="E163" s="29" t="n"/>
      <c r="F163" s="29" t="n"/>
      <c r="G163" s="29" t="n"/>
      <c r="H163" s="29" t="n"/>
    </row>
    <row r="164">
      <c r="A164" s="31" t="n"/>
      <c r="B164" s="29" t="n"/>
      <c r="C164" s="32" t="n"/>
      <c r="D164" s="33" t="n"/>
      <c r="E164" s="29" t="n"/>
      <c r="F164" s="29" t="n"/>
      <c r="G164" s="29" t="n"/>
      <c r="H164" s="29" t="n"/>
    </row>
    <row r="165">
      <c r="A165" s="31" t="n"/>
      <c r="B165" s="29" t="n"/>
      <c r="C165" s="32" t="n"/>
      <c r="D165" s="33" t="n"/>
      <c r="E165" s="29" t="n"/>
      <c r="F165" s="29" t="n"/>
      <c r="G165" s="29" t="n"/>
      <c r="H165" s="29" t="n"/>
    </row>
    <row r="166">
      <c r="A166" s="31" t="n"/>
      <c r="B166" s="29" t="n"/>
      <c r="C166" s="32" t="n"/>
      <c r="D166" s="33" t="n"/>
      <c r="E166" s="29" t="n"/>
      <c r="F166" s="29" t="n"/>
      <c r="G166" s="29" t="n"/>
      <c r="H166" s="29" t="n"/>
    </row>
    <row r="167">
      <c r="A167" s="31" t="n"/>
      <c r="B167" s="29" t="n"/>
      <c r="C167" s="32" t="n"/>
      <c r="D167" s="33" t="n"/>
      <c r="E167" s="29" t="n"/>
      <c r="F167" s="29" t="n"/>
      <c r="G167" s="29" t="n"/>
      <c r="H167" s="29" t="n"/>
    </row>
    <row r="168">
      <c r="A168" s="31" t="n"/>
      <c r="B168" s="29" t="n"/>
      <c r="C168" s="32" t="n"/>
      <c r="D168" s="33" t="n"/>
      <c r="E168" s="29" t="n"/>
      <c r="F168" s="29" t="n"/>
      <c r="G168" s="29" t="n"/>
      <c r="H168" s="29" t="n"/>
    </row>
    <row r="169">
      <c r="A169" s="31" t="n"/>
      <c r="B169" s="29" t="n"/>
      <c r="C169" s="32" t="n"/>
      <c r="D169" s="33" t="n"/>
      <c r="E169" s="29" t="n"/>
      <c r="F169" s="29" t="n"/>
      <c r="G169" s="29" t="n"/>
      <c r="H169" s="29" t="n"/>
    </row>
    <row r="170">
      <c r="A170" s="31" t="n"/>
      <c r="B170" s="29" t="n"/>
      <c r="C170" s="32" t="n"/>
      <c r="D170" s="33" t="n"/>
      <c r="E170" s="29" t="n"/>
      <c r="F170" s="29" t="n"/>
      <c r="G170" s="29" t="n"/>
      <c r="H170" s="29" t="n"/>
    </row>
    <row r="171">
      <c r="A171" s="31" t="n"/>
      <c r="B171" s="29" t="n"/>
      <c r="C171" s="32" t="n"/>
      <c r="D171" s="33" t="n"/>
      <c r="E171" s="29" t="n"/>
      <c r="F171" s="29" t="n"/>
      <c r="G171" s="29" t="n"/>
      <c r="H171" s="29" t="n"/>
    </row>
    <row r="172">
      <c r="A172" s="31" t="n"/>
      <c r="B172" s="29" t="n"/>
      <c r="C172" s="32" t="n"/>
      <c r="D172" s="33" t="n"/>
      <c r="E172" s="29" t="n"/>
      <c r="F172" s="29" t="n"/>
      <c r="G172" s="29" t="n"/>
      <c r="H172" s="29" t="n"/>
    </row>
    <row r="173">
      <c r="A173" s="31" t="n"/>
      <c r="B173" s="29" t="n"/>
      <c r="C173" s="32" t="n"/>
      <c r="D173" s="33" t="n"/>
      <c r="E173" s="29" t="n"/>
      <c r="F173" s="29" t="n"/>
      <c r="G173" s="29" t="n"/>
      <c r="H173" s="29" t="n"/>
    </row>
    <row r="174">
      <c r="A174" s="31" t="n"/>
      <c r="B174" s="29" t="n"/>
      <c r="C174" s="32" t="n"/>
      <c r="D174" s="33" t="n"/>
      <c r="E174" s="29" t="n"/>
      <c r="F174" s="29" t="n"/>
      <c r="G174" s="29" t="n"/>
      <c r="H174" s="29" t="n"/>
    </row>
    <row r="175">
      <c r="A175" s="31" t="n"/>
      <c r="B175" s="29" t="n"/>
      <c r="C175" s="32" t="n"/>
      <c r="D175" s="33" t="n"/>
      <c r="E175" s="29" t="n"/>
      <c r="F175" s="29" t="n"/>
      <c r="G175" s="29" t="n"/>
      <c r="H175" s="29" t="n"/>
    </row>
    <row r="176">
      <c r="A176" s="31" t="n"/>
      <c r="B176" s="29" t="n"/>
      <c r="C176" s="32" t="n"/>
      <c r="D176" s="33" t="n"/>
      <c r="E176" s="29" t="n"/>
      <c r="F176" s="29" t="n"/>
      <c r="G176" s="29" t="n"/>
      <c r="H176" s="29" t="n"/>
    </row>
    <row r="177">
      <c r="A177" s="31" t="n"/>
      <c r="B177" s="29" t="n"/>
      <c r="C177" s="32" t="n"/>
      <c r="D177" s="33" t="n"/>
      <c r="E177" s="29" t="n"/>
      <c r="F177" s="29" t="n"/>
      <c r="G177" s="29" t="n"/>
      <c r="H177" s="29" t="n"/>
    </row>
    <row r="178">
      <c r="A178" s="31" t="n"/>
      <c r="B178" s="29" t="n"/>
      <c r="C178" s="32" t="n"/>
      <c r="D178" s="33" t="n"/>
      <c r="E178" s="29" t="n"/>
      <c r="F178" s="29" t="n"/>
      <c r="G178" s="29" t="n"/>
      <c r="H178" s="29" t="n"/>
    </row>
    <row r="179">
      <c r="A179" s="31" t="n"/>
      <c r="B179" s="29" t="n"/>
      <c r="C179" s="32" t="n"/>
      <c r="D179" s="33" t="n"/>
      <c r="E179" s="29" t="n"/>
      <c r="F179" s="29" t="n"/>
      <c r="G179" s="29" t="n"/>
      <c r="H179" s="29" t="n"/>
    </row>
    <row r="180">
      <c r="A180" s="31" t="n"/>
      <c r="B180" s="29" t="n"/>
      <c r="C180" s="32" t="n"/>
      <c r="D180" s="33" t="n"/>
      <c r="E180" s="29" t="n"/>
      <c r="F180" s="29" t="n"/>
      <c r="G180" s="29" t="n"/>
      <c r="H180" s="29" t="n"/>
    </row>
    <row r="181">
      <c r="A181" s="31" t="n"/>
      <c r="B181" s="29" t="n"/>
      <c r="C181" s="32" t="n"/>
      <c r="D181" s="33" t="n"/>
      <c r="E181" s="29" t="n"/>
      <c r="F181" s="29" t="n"/>
      <c r="G181" s="29" t="n"/>
      <c r="H181" s="29" t="n"/>
    </row>
    <row r="182">
      <c r="A182" s="31" t="n"/>
      <c r="B182" s="29" t="n"/>
      <c r="C182" s="32" t="n"/>
      <c r="D182" s="33" t="n"/>
      <c r="E182" s="29" t="n"/>
      <c r="F182" s="29" t="n"/>
      <c r="G182" s="29" t="n"/>
      <c r="H182" s="29" t="n"/>
    </row>
    <row r="183">
      <c r="A183" s="31" t="n"/>
      <c r="B183" s="29" t="n"/>
      <c r="C183" s="32" t="n"/>
      <c r="D183" s="33" t="n"/>
      <c r="E183" s="29" t="n"/>
      <c r="F183" s="29" t="n"/>
      <c r="G183" s="29" t="n"/>
      <c r="H183" s="29" t="n"/>
    </row>
    <row r="184">
      <c r="A184" s="31" t="n"/>
      <c r="B184" s="29" t="n"/>
      <c r="C184" s="32" t="n"/>
      <c r="D184" s="33" t="n"/>
      <c r="E184" s="29" t="n"/>
      <c r="F184" s="29" t="n"/>
      <c r="G184" s="29" t="n"/>
      <c r="H184" s="29" t="n"/>
    </row>
    <row r="185">
      <c r="A185" s="31" t="n"/>
      <c r="B185" s="29" t="n"/>
      <c r="C185" s="32" t="n"/>
      <c r="D185" s="33" t="n"/>
      <c r="E185" s="29" t="n"/>
      <c r="F185" s="29" t="n"/>
      <c r="G185" s="29" t="n"/>
      <c r="H185" s="29" t="n"/>
    </row>
    <row r="186">
      <c r="A186" s="31" t="n"/>
      <c r="B186" s="29" t="n"/>
      <c r="C186" s="32" t="n"/>
      <c r="D186" s="33" t="n"/>
      <c r="E186" s="29" t="n"/>
      <c r="F186" s="29" t="n"/>
      <c r="G186" s="29" t="n"/>
      <c r="H186" s="29" t="n"/>
    </row>
    <row r="187">
      <c r="A187" s="31" t="n"/>
      <c r="B187" s="29" t="n"/>
      <c r="C187" s="32" t="n"/>
      <c r="D187" s="33" t="n"/>
      <c r="E187" s="29" t="n"/>
      <c r="F187" s="29" t="n"/>
      <c r="G187" s="29" t="n"/>
      <c r="H187" s="29" t="n"/>
    </row>
    <row r="188">
      <c r="A188" s="31" t="n"/>
      <c r="B188" s="29" t="n"/>
      <c r="C188" s="32" t="n"/>
      <c r="D188" s="33" t="n"/>
      <c r="E188" s="29" t="n"/>
      <c r="F188" s="29" t="n"/>
      <c r="G188" s="29" t="n"/>
      <c r="H188" s="29" t="n"/>
    </row>
    <row r="189">
      <c r="A189" s="31" t="n"/>
      <c r="B189" s="29" t="n"/>
      <c r="C189" s="32" t="n"/>
      <c r="D189" s="33" t="n"/>
      <c r="E189" s="29" t="n"/>
      <c r="F189" s="29" t="n"/>
      <c r="G189" s="29" t="n"/>
      <c r="H189" s="29" t="n"/>
    </row>
    <row r="190">
      <c r="A190" s="31" t="n"/>
      <c r="B190" s="29" t="n"/>
      <c r="C190" s="32" t="n"/>
      <c r="D190" s="33" t="n"/>
      <c r="E190" s="29" t="n"/>
      <c r="F190" s="29" t="n"/>
      <c r="G190" s="29" t="n"/>
      <c r="H190" s="29" t="n"/>
    </row>
    <row r="191">
      <c r="A191" s="31" t="n"/>
      <c r="B191" s="29" t="n"/>
      <c r="C191" s="32" t="n"/>
      <c r="D191" s="33" t="n"/>
      <c r="E191" s="29" t="n"/>
      <c r="F191" s="29" t="n"/>
      <c r="G191" s="29" t="n"/>
      <c r="H191" s="29" t="n"/>
    </row>
    <row r="192">
      <c r="A192" s="31" t="n"/>
      <c r="B192" s="29" t="n"/>
      <c r="C192" s="32" t="n"/>
      <c r="D192" s="33" t="n"/>
      <c r="E192" s="29" t="n"/>
      <c r="F192" s="29" t="n"/>
      <c r="G192" s="29" t="n"/>
      <c r="H192" s="29" t="n"/>
    </row>
    <row r="193">
      <c r="A193" s="31" t="n"/>
      <c r="B193" s="29" t="n"/>
      <c r="C193" s="32" t="n"/>
      <c r="D193" s="33" t="n"/>
      <c r="E193" s="29" t="n"/>
      <c r="F193" s="29" t="n"/>
      <c r="G193" s="29" t="n"/>
      <c r="H193" s="29" t="n"/>
    </row>
    <row r="194">
      <c r="A194" s="31" t="n"/>
      <c r="B194" s="29" t="n"/>
      <c r="C194" s="32" t="n"/>
      <c r="D194" s="33" t="n"/>
      <c r="E194" s="29" t="n"/>
      <c r="F194" s="29" t="n"/>
      <c r="G194" s="29" t="n"/>
      <c r="H194" s="29" t="n"/>
    </row>
    <row r="195">
      <c r="A195" s="31" t="n"/>
      <c r="B195" s="29" t="n"/>
      <c r="C195" s="32" t="n"/>
      <c r="D195" s="33" t="n"/>
      <c r="E195" s="29" t="n"/>
      <c r="F195" s="29" t="n"/>
      <c r="G195" s="29" t="n"/>
      <c r="H195" s="29" t="n"/>
    </row>
    <row r="196">
      <c r="A196" s="31" t="n"/>
      <c r="B196" s="29" t="n"/>
      <c r="C196" s="32" t="n"/>
      <c r="D196" s="33" t="n"/>
      <c r="E196" s="29" t="n"/>
      <c r="F196" s="29" t="n"/>
      <c r="G196" s="29" t="n"/>
      <c r="H196" s="29" t="n"/>
    </row>
    <row r="197">
      <c r="A197" s="31" t="n"/>
      <c r="B197" s="29" t="n"/>
      <c r="C197" s="32" t="n"/>
      <c r="D197" s="33" t="n"/>
      <c r="E197" s="29" t="n"/>
      <c r="F197" s="29" t="n"/>
      <c r="G197" s="29" t="n"/>
      <c r="H197" s="29" t="n"/>
    </row>
    <row r="198">
      <c r="A198" s="31" t="n"/>
      <c r="B198" s="29" t="n"/>
      <c r="C198" s="32" t="n"/>
      <c r="D198" s="33" t="n"/>
      <c r="E198" s="29" t="n"/>
      <c r="F198" s="29" t="n"/>
      <c r="G198" s="29" t="n"/>
      <c r="H198" s="29" t="n"/>
    </row>
    <row r="199">
      <c r="A199" s="31" t="n"/>
      <c r="B199" s="29" t="n"/>
      <c r="C199" s="32" t="n"/>
      <c r="D199" s="33" t="n"/>
      <c r="E199" s="29" t="n"/>
      <c r="F199" s="29" t="n"/>
      <c r="G199" s="29" t="n"/>
      <c r="H199" s="29" t="n"/>
    </row>
    <row r="200">
      <c r="A200" s="31" t="n"/>
      <c r="B200" s="29" t="n"/>
      <c r="C200" s="32" t="n"/>
      <c r="D200" s="33" t="n"/>
      <c r="E200" s="29" t="n"/>
      <c r="F200" s="29" t="n"/>
      <c r="G200" s="29" t="n"/>
      <c r="H200" s="29" t="n"/>
    </row>
    <row r="201">
      <c r="A201" s="31" t="n"/>
      <c r="B201" s="29" t="n"/>
      <c r="C201" s="32" t="n"/>
      <c r="D201" s="33" t="n"/>
      <c r="E201" s="29" t="n"/>
      <c r="F201" s="29" t="n"/>
      <c r="G201" s="29" t="n"/>
      <c r="H201" s="29" t="n"/>
    </row>
    <row r="202">
      <c r="A202" s="31" t="n"/>
      <c r="B202" s="29" t="n"/>
      <c r="C202" s="32" t="n"/>
      <c r="D202" s="33" t="n"/>
      <c r="E202" s="29" t="n"/>
      <c r="F202" s="29" t="n"/>
      <c r="G202" s="29" t="n"/>
      <c r="H202" s="29" t="n"/>
    </row>
    <row r="203">
      <c r="A203" s="31" t="n"/>
      <c r="B203" s="29" t="n"/>
      <c r="C203" s="32" t="n"/>
      <c r="D203" s="33" t="n"/>
      <c r="E203" s="29" t="n"/>
      <c r="F203" s="29" t="n"/>
      <c r="G203" s="29" t="n"/>
      <c r="H203" s="29" t="n"/>
    </row>
    <row r="204">
      <c r="A204" s="31" t="n"/>
      <c r="B204" s="29" t="n"/>
      <c r="C204" s="32" t="n"/>
      <c r="D204" s="33" t="n"/>
      <c r="E204" s="29" t="n"/>
      <c r="F204" s="29" t="n"/>
      <c r="G204" s="29" t="n"/>
      <c r="H204" s="29" t="n"/>
    </row>
    <row r="205">
      <c r="A205" s="31" t="n"/>
      <c r="B205" s="29" t="n"/>
      <c r="C205" s="32" t="n"/>
      <c r="D205" s="33" t="n"/>
      <c r="E205" s="29" t="n"/>
      <c r="F205" s="29" t="n"/>
      <c r="G205" s="29" t="n"/>
      <c r="H205" s="29" t="n"/>
    </row>
    <row r="206">
      <c r="A206" s="31" t="n"/>
      <c r="B206" s="29" t="n"/>
      <c r="C206" s="32" t="n"/>
      <c r="D206" s="33" t="n"/>
      <c r="E206" s="29" t="n"/>
      <c r="F206" s="29" t="n"/>
      <c r="G206" s="29" t="n"/>
      <c r="H206" s="29" t="n"/>
    </row>
    <row r="207">
      <c r="A207" s="31" t="n"/>
      <c r="B207" s="29" t="n"/>
      <c r="C207" s="32" t="n"/>
      <c r="D207" s="33" t="n"/>
      <c r="E207" s="29" t="n"/>
      <c r="F207" s="29" t="n"/>
      <c r="G207" s="29" t="n"/>
      <c r="H207" s="29" t="n"/>
    </row>
    <row r="208">
      <c r="A208" s="31" t="n"/>
      <c r="B208" s="29" t="n"/>
      <c r="C208" s="32" t="n"/>
      <c r="D208" s="33" t="n"/>
      <c r="E208" s="29" t="n"/>
      <c r="F208" s="29" t="n"/>
      <c r="G208" s="29" t="n"/>
      <c r="H208" s="29" t="n"/>
    </row>
    <row r="209">
      <c r="A209" s="31" t="n"/>
      <c r="B209" s="29" t="n"/>
      <c r="C209" s="32" t="n"/>
      <c r="D209" s="33" t="n"/>
      <c r="E209" s="29" t="n"/>
      <c r="F209" s="29" t="n"/>
      <c r="G209" s="29" t="n"/>
      <c r="H209" s="29" t="n"/>
    </row>
    <row r="210">
      <c r="A210" s="31" t="n"/>
      <c r="B210" s="29" t="n"/>
      <c r="C210" s="32" t="n"/>
      <c r="D210" s="33" t="n"/>
      <c r="E210" s="29" t="n"/>
      <c r="F210" s="29" t="n"/>
      <c r="G210" s="29" t="n"/>
      <c r="H210" s="29" t="n"/>
    </row>
    <row r="211">
      <c r="A211" s="31" t="n"/>
      <c r="B211" s="29" t="n"/>
      <c r="C211" s="32" t="n"/>
      <c r="D211" s="33" t="n"/>
      <c r="E211" s="29" t="n"/>
      <c r="F211" s="29" t="n"/>
      <c r="G211" s="29" t="n"/>
      <c r="H211" s="29" t="n"/>
    </row>
    <row r="212">
      <c r="A212" s="31" t="n"/>
      <c r="B212" s="29" t="n"/>
      <c r="C212" s="32" t="n"/>
      <c r="D212" s="33" t="n"/>
      <c r="E212" s="29" t="n"/>
      <c r="F212" s="29" t="n"/>
      <c r="G212" s="29" t="n"/>
      <c r="H212" s="29" t="n"/>
    </row>
    <row r="213">
      <c r="A213" s="31" t="n"/>
      <c r="B213" s="29" t="n"/>
      <c r="C213" s="32" t="n"/>
      <c r="D213" s="33" t="n"/>
      <c r="E213" s="29" t="n"/>
      <c r="F213" s="29" t="n"/>
      <c r="G213" s="29" t="n"/>
      <c r="H213" s="29" t="n"/>
    </row>
    <row r="214">
      <c r="A214" s="31" t="n"/>
      <c r="B214" s="29" t="n"/>
      <c r="C214" s="32" t="n"/>
      <c r="D214" s="33" t="n"/>
      <c r="E214" s="29" t="n"/>
      <c r="F214" s="29" t="n"/>
      <c r="G214" s="29" t="n"/>
      <c r="H214" s="29" t="n"/>
    </row>
    <row r="215">
      <c r="A215" s="31" t="n"/>
      <c r="B215" s="29" t="n"/>
      <c r="C215" s="32" t="n"/>
      <c r="D215" s="33" t="n"/>
      <c r="E215" s="29" t="n"/>
      <c r="F215" s="29" t="n"/>
      <c r="G215" s="29" t="n"/>
      <c r="H215" s="29" t="n"/>
    </row>
    <row r="216">
      <c r="A216" s="31" t="n"/>
      <c r="B216" s="29" t="n"/>
      <c r="C216" s="32" t="n"/>
      <c r="D216" s="33" t="n"/>
      <c r="E216" s="29" t="n"/>
      <c r="F216" s="29" t="n"/>
      <c r="G216" s="29" t="n"/>
      <c r="H216" s="29" t="n"/>
    </row>
    <row r="217">
      <c r="A217" s="31" t="n"/>
      <c r="B217" s="29" t="n"/>
      <c r="C217" s="32" t="n"/>
      <c r="D217" s="33" t="n"/>
      <c r="E217" s="29" t="n"/>
      <c r="F217" s="29" t="n"/>
      <c r="G217" s="29" t="n"/>
      <c r="H217" s="29" t="n"/>
    </row>
    <row r="218">
      <c r="A218" s="31" t="n"/>
      <c r="B218" s="29" t="n"/>
      <c r="C218" s="32" t="n"/>
      <c r="D218" s="33" t="n"/>
      <c r="E218" s="29" t="n"/>
      <c r="F218" s="29" t="n"/>
      <c r="G218" s="29" t="n"/>
      <c r="H218" s="29" t="n"/>
    </row>
    <row r="219">
      <c r="A219" s="31" t="n"/>
      <c r="B219" s="29" t="n"/>
      <c r="C219" s="32" t="n"/>
      <c r="D219" s="33" t="n"/>
      <c r="E219" s="29" t="n"/>
      <c r="F219" s="29" t="n"/>
      <c r="G219" s="29" t="n"/>
      <c r="H219" s="29" t="n"/>
    </row>
    <row r="220">
      <c r="A220" s="31" t="n"/>
      <c r="B220" s="29" t="n"/>
      <c r="C220" s="32" t="n"/>
      <c r="D220" s="33" t="n"/>
      <c r="E220" s="29" t="n"/>
      <c r="F220" s="29" t="n"/>
      <c r="G220" s="29" t="n"/>
      <c r="H220" s="29" t="n"/>
    </row>
    <row r="221">
      <c r="A221" s="31" t="n"/>
      <c r="B221" s="29" t="n"/>
      <c r="C221" s="32" t="n"/>
      <c r="D221" s="33" t="n"/>
      <c r="E221" s="29" t="n"/>
      <c r="F221" s="29" t="n"/>
      <c r="G221" s="29" t="n"/>
      <c r="H221" s="29" t="n"/>
    </row>
    <row r="222">
      <c r="A222" s="31" t="n"/>
      <c r="B222" s="29" t="n"/>
      <c r="C222" s="32" t="n"/>
      <c r="D222" s="33" t="n"/>
      <c r="E222" s="29" t="n"/>
      <c r="F222" s="29" t="n"/>
      <c r="G222" s="29" t="n"/>
      <c r="H222" s="29" t="n"/>
    </row>
    <row r="223">
      <c r="A223" s="31" t="n"/>
      <c r="B223" s="29" t="n"/>
      <c r="C223" s="32" t="n"/>
      <c r="D223" s="33" t="n"/>
      <c r="E223" s="29" t="n"/>
      <c r="F223" s="29" t="n"/>
      <c r="G223" s="29" t="n"/>
      <c r="H223" s="29" t="n"/>
    </row>
    <row r="224">
      <c r="A224" s="31" t="n"/>
      <c r="B224" s="29" t="n"/>
      <c r="C224" s="32" t="n"/>
      <c r="D224" s="33" t="n"/>
      <c r="E224" s="29" t="n"/>
      <c r="F224" s="29" t="n"/>
      <c r="G224" s="29" t="n"/>
      <c r="H224" s="29" t="n"/>
    </row>
    <row r="225">
      <c r="A225" s="31" t="n"/>
      <c r="B225" s="29" t="n"/>
      <c r="C225" s="32" t="n"/>
      <c r="D225" s="33" t="n"/>
      <c r="E225" s="29" t="n"/>
      <c r="F225" s="29" t="n"/>
      <c r="G225" s="29" t="n"/>
      <c r="H225" s="29" t="n"/>
    </row>
    <row r="226">
      <c r="A226" s="31" t="n"/>
      <c r="B226" s="29" t="n"/>
      <c r="C226" s="32" t="n"/>
      <c r="D226" s="33" t="n"/>
      <c r="E226" s="29" t="n"/>
      <c r="F226" s="29" t="n"/>
      <c r="G226" s="29" t="n"/>
      <c r="H226" s="29" t="n"/>
    </row>
    <row r="227">
      <c r="A227" s="31" t="n"/>
      <c r="B227" s="29" t="n"/>
      <c r="C227" s="32" t="n"/>
      <c r="D227" s="33" t="n"/>
      <c r="E227" s="29" t="n"/>
      <c r="F227" s="29" t="n"/>
      <c r="G227" s="29" t="n"/>
      <c r="H227" s="29" t="n"/>
    </row>
    <row r="228">
      <c r="A228" s="31" t="n"/>
      <c r="B228" s="29" t="n"/>
      <c r="C228" s="32" t="n"/>
      <c r="D228" s="33" t="n"/>
      <c r="E228" s="29" t="n"/>
      <c r="F228" s="29" t="n"/>
      <c r="G228" s="29" t="n"/>
      <c r="H228" s="29" t="n"/>
    </row>
    <row r="229">
      <c r="A229" s="31" t="n"/>
      <c r="B229" s="29" t="n"/>
      <c r="C229" s="32" t="n"/>
      <c r="D229" s="33" t="n"/>
      <c r="E229" s="29" t="n"/>
      <c r="F229" s="29" t="n"/>
      <c r="G229" s="29" t="n"/>
      <c r="H229" s="29" t="n"/>
    </row>
    <row r="230">
      <c r="A230" s="31" t="n"/>
      <c r="B230" s="29" t="n"/>
      <c r="C230" s="32" t="n"/>
      <c r="D230" s="33" t="n"/>
      <c r="E230" s="29" t="n"/>
      <c r="F230" s="29" t="n"/>
      <c r="G230" s="29" t="n"/>
      <c r="H230" s="29" t="n"/>
    </row>
    <row r="231">
      <c r="A231" s="31" t="n"/>
      <c r="B231" s="29" t="n"/>
      <c r="C231" s="32" t="n"/>
      <c r="D231" s="33" t="n"/>
      <c r="E231" s="29" t="n"/>
      <c r="F231" s="29" t="n"/>
      <c r="G231" s="29" t="n"/>
      <c r="H231" s="29" t="n"/>
    </row>
    <row r="232">
      <c r="A232" s="31" t="n"/>
      <c r="B232" s="29" t="n"/>
      <c r="C232" s="32" t="n"/>
      <c r="D232" s="33" t="n"/>
      <c r="E232" s="29" t="n"/>
      <c r="F232" s="29" t="n"/>
      <c r="G232" s="29" t="n"/>
      <c r="H232" s="29" t="n"/>
    </row>
    <row r="233">
      <c r="A233" s="31" t="n"/>
      <c r="B233" s="29" t="n"/>
      <c r="C233" s="32" t="n"/>
      <c r="D233" s="33" t="n"/>
      <c r="E233" s="29" t="n"/>
      <c r="F233" s="29" t="n"/>
      <c r="G233" s="29" t="n"/>
      <c r="H233" s="29" t="n"/>
    </row>
    <row r="234">
      <c r="A234" s="31" t="n"/>
      <c r="B234" s="29" t="n"/>
      <c r="C234" s="32" t="n"/>
      <c r="D234" s="33" t="n"/>
      <c r="E234" s="29" t="n"/>
      <c r="F234" s="29" t="n"/>
      <c r="G234" s="29" t="n"/>
      <c r="H234" s="29" t="n"/>
    </row>
    <row r="235">
      <c r="A235" s="31" t="n"/>
      <c r="B235" s="29" t="n"/>
      <c r="C235" s="32" t="n"/>
      <c r="D235" s="33" t="n"/>
      <c r="E235" s="29" t="n"/>
      <c r="F235" s="29" t="n"/>
      <c r="G235" s="29" t="n"/>
      <c r="H235" s="29" t="n"/>
    </row>
    <row r="236">
      <c r="A236" s="31" t="n"/>
      <c r="B236" s="29" t="n"/>
      <c r="C236" s="32" t="n"/>
      <c r="D236" s="33" t="n"/>
      <c r="E236" s="29" t="n"/>
      <c r="F236" s="29" t="n"/>
      <c r="G236" s="29" t="n"/>
      <c r="H236" s="29" t="n"/>
    </row>
    <row r="237">
      <c r="A237" s="31" t="n"/>
      <c r="B237" s="29" t="n"/>
      <c r="C237" s="32" t="n"/>
      <c r="D237" s="33" t="n"/>
      <c r="E237" s="29" t="n"/>
      <c r="F237" s="29" t="n"/>
      <c r="G237" s="29" t="n"/>
      <c r="H237" s="29" t="n"/>
    </row>
    <row r="238">
      <c r="A238" s="31" t="n"/>
      <c r="B238" s="29" t="n"/>
      <c r="C238" s="32" t="n"/>
      <c r="D238" s="33" t="n"/>
      <c r="E238" s="29" t="n"/>
      <c r="F238" s="29" t="n"/>
      <c r="G238" s="29" t="n"/>
      <c r="H238" s="29" t="n"/>
    </row>
    <row r="239">
      <c r="A239" s="31" t="n"/>
      <c r="B239" s="29" t="n"/>
      <c r="C239" s="32" t="n"/>
      <c r="D239" s="33" t="n"/>
      <c r="E239" s="29" t="n"/>
      <c r="F239" s="29" t="n"/>
      <c r="G239" s="29" t="n"/>
      <c r="H239" s="29" t="n"/>
    </row>
    <row r="240">
      <c r="A240" s="31" t="n"/>
      <c r="B240" s="29" t="n"/>
      <c r="C240" s="32" t="n"/>
      <c r="D240" s="33" t="n"/>
      <c r="E240" s="29" t="n"/>
      <c r="F240" s="29" t="n"/>
      <c r="G240" s="29" t="n"/>
      <c r="H240" s="29" t="n"/>
    </row>
    <row r="241">
      <c r="A241" s="31" t="n"/>
      <c r="B241" s="29" t="n"/>
      <c r="C241" s="32" t="n"/>
      <c r="D241" s="33" t="n"/>
      <c r="E241" s="29" t="n"/>
      <c r="F241" s="29" t="n"/>
      <c r="G241" s="29" t="n"/>
      <c r="H241" s="29" t="n"/>
    </row>
    <row r="242">
      <c r="A242" s="31" t="n"/>
      <c r="B242" s="29" t="n"/>
      <c r="C242" s="32" t="n"/>
      <c r="D242" s="33" t="n"/>
      <c r="E242" s="29" t="n"/>
      <c r="F242" s="29" t="n"/>
      <c r="G242" s="29" t="n"/>
      <c r="H242" s="29" t="n"/>
    </row>
    <row r="243">
      <c r="A243" s="31" t="n"/>
      <c r="B243" s="29" t="n"/>
      <c r="C243" s="32" t="n"/>
      <c r="D243" s="33" t="n"/>
      <c r="E243" s="29" t="n"/>
      <c r="F243" s="29" t="n"/>
      <c r="G243" s="29" t="n"/>
      <c r="H243" s="29" t="n"/>
    </row>
    <row r="244">
      <c r="A244" s="31" t="n"/>
      <c r="B244" s="29" t="n"/>
      <c r="C244" s="32" t="n"/>
      <c r="D244" s="33" t="n"/>
      <c r="E244" s="29" t="n"/>
      <c r="F244" s="29" t="n"/>
      <c r="G244" s="29" t="n"/>
      <c r="H244" s="29" t="n"/>
    </row>
    <row r="245">
      <c r="A245" s="31" t="n"/>
      <c r="B245" s="29" t="n"/>
      <c r="C245" s="32" t="n"/>
      <c r="D245" s="33" t="n"/>
      <c r="E245" s="29" t="n"/>
      <c r="F245" s="29" t="n"/>
      <c r="G245" s="29" t="n"/>
      <c r="H245" s="29" t="n"/>
    </row>
    <row r="246">
      <c r="A246" s="31" t="n"/>
      <c r="B246" s="29" t="n"/>
      <c r="C246" s="32" t="n"/>
      <c r="D246" s="33" t="n"/>
      <c r="E246" s="29" t="n"/>
      <c r="F246" s="29" t="n"/>
      <c r="G246" s="29" t="n"/>
      <c r="H246" s="29" t="n"/>
    </row>
    <row r="247">
      <c r="A247" s="31" t="n"/>
      <c r="B247" s="29" t="n"/>
      <c r="C247" s="32" t="n"/>
      <c r="D247" s="33" t="n"/>
      <c r="E247" s="29" t="n"/>
      <c r="F247" s="29" t="n"/>
      <c r="G247" s="29" t="n"/>
      <c r="H247" s="29" t="n"/>
    </row>
    <row r="248">
      <c r="A248" s="31" t="n"/>
      <c r="B248" s="29" t="n"/>
      <c r="C248" s="32" t="n"/>
      <c r="D248" s="33" t="n"/>
      <c r="E248" s="29" t="n"/>
      <c r="F248" s="29" t="n"/>
      <c r="G248" s="29" t="n"/>
      <c r="H248" s="29" t="n"/>
    </row>
    <row r="249">
      <c r="A249" s="31" t="n"/>
      <c r="B249" s="29" t="n"/>
      <c r="C249" s="32" t="n"/>
      <c r="D249" s="33" t="n"/>
      <c r="E249" s="29" t="n"/>
      <c r="F249" s="29" t="n"/>
      <c r="G249" s="29" t="n"/>
      <c r="H249" s="29" t="n"/>
    </row>
    <row r="250">
      <c r="A250" s="31" t="n"/>
      <c r="B250" s="29" t="n"/>
      <c r="C250" s="32" t="n"/>
      <c r="D250" s="33" t="n"/>
      <c r="E250" s="29" t="n"/>
      <c r="F250" s="29" t="n"/>
      <c r="G250" s="29" t="n"/>
      <c r="H250" s="29" t="n"/>
    </row>
    <row r="251">
      <c r="A251" s="31" t="n"/>
      <c r="B251" s="29" t="n"/>
      <c r="C251" s="32" t="n"/>
      <c r="D251" s="33" t="n"/>
      <c r="E251" s="29" t="n"/>
      <c r="F251" s="29" t="n"/>
      <c r="G251" s="29" t="n"/>
      <c r="H251" s="29" t="n"/>
    </row>
    <row r="252">
      <c r="A252" s="31" t="n"/>
      <c r="B252" s="29" t="n"/>
      <c r="C252" s="32" t="n"/>
      <c r="D252" s="33" t="n"/>
      <c r="E252" s="29" t="n"/>
      <c r="F252" s="29" t="n"/>
      <c r="G252" s="29" t="n"/>
      <c r="H252" s="29" t="n"/>
    </row>
    <row r="253">
      <c r="A253" s="31" t="n"/>
      <c r="B253" s="29" t="n"/>
      <c r="C253" s="32" t="n"/>
      <c r="D253" s="33" t="n"/>
      <c r="E253" s="29" t="n"/>
      <c r="F253" s="29" t="n"/>
      <c r="G253" s="29" t="n"/>
      <c r="H253" s="29" t="n"/>
    </row>
    <row r="254">
      <c r="A254" s="31" t="n"/>
      <c r="B254" s="29" t="n"/>
      <c r="C254" s="32" t="n"/>
      <c r="D254" s="33" t="n"/>
      <c r="E254" s="29" t="n"/>
      <c r="F254" s="29" t="n"/>
      <c r="G254" s="29" t="n"/>
      <c r="H254" s="29" t="n"/>
    </row>
    <row r="255">
      <c r="A255" s="31" t="n"/>
      <c r="B255" s="29" t="n"/>
      <c r="C255" s="32" t="n"/>
      <c r="D255" s="33" t="n"/>
      <c r="E255" s="29" t="n"/>
      <c r="F255" s="29" t="n"/>
      <c r="G255" s="29" t="n"/>
      <c r="H255" s="29" t="n"/>
    </row>
    <row r="256">
      <c r="A256" s="31" t="n"/>
      <c r="B256" s="29" t="n"/>
      <c r="C256" s="32" t="n"/>
      <c r="D256" s="33" t="n"/>
      <c r="E256" s="29" t="n"/>
      <c r="F256" s="29" t="n"/>
      <c r="G256" s="29" t="n"/>
      <c r="H256" s="29" t="n"/>
    </row>
    <row r="257">
      <c r="A257" s="31" t="n"/>
      <c r="B257" s="29" t="n"/>
      <c r="C257" s="32" t="n"/>
      <c r="D257" s="33" t="n"/>
      <c r="E257" s="29" t="n"/>
      <c r="F257" s="29" t="n"/>
      <c r="G257" s="29" t="n"/>
      <c r="H257" s="29" t="n"/>
    </row>
    <row r="258">
      <c r="A258" s="31" t="n"/>
      <c r="B258" s="29" t="n"/>
      <c r="C258" s="32" t="n"/>
      <c r="D258" s="33" t="n"/>
      <c r="E258" s="29" t="n"/>
      <c r="F258" s="29" t="n"/>
      <c r="G258" s="29" t="n"/>
      <c r="H258" s="29" t="n"/>
    </row>
    <row r="259">
      <c r="A259" s="31" t="n"/>
      <c r="B259" s="29" t="n"/>
      <c r="C259" s="32" t="n"/>
      <c r="D259" s="33" t="n"/>
      <c r="E259" s="29" t="n"/>
      <c r="F259" s="29" t="n"/>
      <c r="G259" s="29" t="n"/>
      <c r="H259" s="29" t="n"/>
    </row>
    <row r="260">
      <c r="A260" s="31" t="n"/>
      <c r="B260" s="29" t="n"/>
      <c r="C260" s="32" t="n"/>
      <c r="D260" s="33" t="n"/>
      <c r="E260" s="29" t="n"/>
      <c r="F260" s="29" t="n"/>
      <c r="G260" s="29" t="n"/>
      <c r="H260" s="29" t="n"/>
    </row>
    <row r="261">
      <c r="A261" s="31" t="n"/>
      <c r="B261" s="29" t="n"/>
      <c r="C261" s="32" t="n"/>
      <c r="D261" s="33" t="n"/>
      <c r="E261" s="29" t="n"/>
      <c r="F261" s="29" t="n"/>
      <c r="G261" s="29" t="n"/>
      <c r="H261" s="29" t="n"/>
    </row>
    <row r="262">
      <c r="A262" s="31" t="n"/>
      <c r="B262" s="29" t="n"/>
      <c r="C262" s="32" t="n"/>
      <c r="D262" s="33" t="n"/>
      <c r="E262" s="29" t="n"/>
      <c r="F262" s="29" t="n"/>
      <c r="G262" s="29" t="n"/>
      <c r="H262" s="29" t="n"/>
    </row>
    <row r="263">
      <c r="A263" s="31" t="n"/>
      <c r="B263" s="29" t="n"/>
      <c r="C263" s="32" t="n"/>
      <c r="D263" s="33" t="n"/>
      <c r="E263" s="29" t="n"/>
      <c r="F263" s="29" t="n"/>
      <c r="G263" s="29" t="n"/>
      <c r="H263" s="29" t="n"/>
    </row>
    <row r="264">
      <c r="A264" s="31" t="n"/>
      <c r="B264" s="29" t="n"/>
      <c r="C264" s="32" t="n"/>
      <c r="D264" s="33" t="n"/>
      <c r="E264" s="29" t="n"/>
      <c r="F264" s="29" t="n"/>
      <c r="G264" s="29" t="n"/>
      <c r="H264" s="29" t="n"/>
    </row>
    <row r="265">
      <c r="A265" s="31" t="n"/>
      <c r="B265" s="29" t="n"/>
      <c r="C265" s="32" t="n"/>
      <c r="D265" s="33" t="n"/>
      <c r="E265" s="29" t="n"/>
      <c r="F265" s="29" t="n"/>
      <c r="G265" s="29" t="n"/>
      <c r="H265" s="29" t="n"/>
    </row>
    <row r="266">
      <c r="A266" s="31" t="n"/>
      <c r="B266" s="29" t="n"/>
      <c r="C266" s="32" t="n"/>
      <c r="D266" s="33" t="n"/>
      <c r="E266" s="29" t="n"/>
      <c r="F266" s="29" t="n"/>
      <c r="G266" s="29" t="n"/>
      <c r="H266" s="29" t="n"/>
    </row>
    <row r="267">
      <c r="A267" s="31" t="n"/>
      <c r="B267" s="29" t="n"/>
      <c r="C267" s="32" t="n"/>
      <c r="D267" s="33" t="n"/>
      <c r="E267" s="29" t="n"/>
      <c r="F267" s="29" t="n"/>
      <c r="G267" s="29" t="n"/>
      <c r="H267" s="29" t="n"/>
    </row>
    <row r="268">
      <c r="A268" s="31" t="n"/>
      <c r="B268" s="29" t="n"/>
      <c r="C268" s="32" t="n"/>
      <c r="D268" s="33" t="n"/>
      <c r="E268" s="29" t="n"/>
      <c r="F268" s="29" t="n"/>
      <c r="G268" s="29" t="n"/>
      <c r="H268" s="29" t="n"/>
    </row>
    <row r="269">
      <c r="A269" s="31" t="n"/>
      <c r="B269" s="29" t="n"/>
      <c r="C269" s="32" t="n"/>
      <c r="D269" s="33" t="n"/>
      <c r="E269" s="29" t="n"/>
      <c r="F269" s="29" t="n"/>
      <c r="G269" s="29" t="n"/>
      <c r="H269" s="29" t="n"/>
    </row>
    <row r="270">
      <c r="A270" s="31" t="n"/>
      <c r="B270" s="29" t="n"/>
      <c r="C270" s="32" t="n"/>
      <c r="D270" s="33" t="n"/>
      <c r="E270" s="29" t="n"/>
      <c r="F270" s="29" t="n"/>
      <c r="G270" s="29" t="n"/>
      <c r="H270" s="29" t="n"/>
    </row>
    <row r="271">
      <c r="A271" s="31" t="n"/>
      <c r="B271" s="29" t="n"/>
      <c r="C271" s="32" t="n"/>
      <c r="D271" s="33" t="n"/>
      <c r="E271" s="29" t="n"/>
      <c r="F271" s="29" t="n"/>
      <c r="G271" s="29" t="n"/>
      <c r="H271" s="29" t="n"/>
    </row>
    <row r="272">
      <c r="A272" s="31" t="n"/>
      <c r="B272" s="29" t="n"/>
      <c r="C272" s="32" t="n"/>
      <c r="D272" s="33" t="n"/>
      <c r="E272" s="29" t="n"/>
      <c r="F272" s="29" t="n"/>
      <c r="G272" s="29" t="n"/>
      <c r="H272" s="29" t="n"/>
    </row>
    <row r="273">
      <c r="A273" s="31" t="n"/>
      <c r="B273" s="29" t="n"/>
      <c r="C273" s="32" t="n"/>
      <c r="D273" s="33" t="n"/>
      <c r="E273" s="29" t="n"/>
      <c r="F273" s="29" t="n"/>
      <c r="G273" s="29" t="n"/>
      <c r="H273" s="29" t="n"/>
    </row>
    <row r="274">
      <c r="A274" s="31" t="n"/>
      <c r="B274" s="29" t="n"/>
      <c r="C274" s="32" t="n"/>
      <c r="D274" s="33" t="n"/>
      <c r="E274" s="29" t="n"/>
      <c r="F274" s="29" t="n"/>
      <c r="G274" s="29" t="n"/>
      <c r="H274" s="29" t="n"/>
    </row>
    <row r="275">
      <c r="A275" s="31" t="n"/>
      <c r="B275" s="29" t="n"/>
      <c r="C275" s="32" t="n"/>
      <c r="D275" s="33" t="n"/>
      <c r="E275" s="29" t="n"/>
      <c r="F275" s="29" t="n"/>
      <c r="G275" s="29" t="n"/>
      <c r="H275" s="29" t="n"/>
    </row>
    <row r="276">
      <c r="A276" s="31" t="n"/>
      <c r="B276" s="29" t="n"/>
      <c r="C276" s="32" t="n"/>
      <c r="D276" s="33" t="n"/>
      <c r="E276" s="29" t="n"/>
      <c r="F276" s="29" t="n"/>
      <c r="G276" s="29" t="n"/>
      <c r="H276" s="29" t="n"/>
    </row>
    <row r="277">
      <c r="A277" s="31" t="n"/>
      <c r="B277" s="29" t="n"/>
      <c r="C277" s="32" t="n"/>
      <c r="D277" s="33" t="n"/>
      <c r="E277" s="29" t="n"/>
      <c r="F277" s="29" t="n"/>
      <c r="G277" s="29" t="n"/>
      <c r="H277" s="29" t="n"/>
    </row>
    <row r="278">
      <c r="A278" s="31" t="n"/>
      <c r="B278" s="29" t="n"/>
      <c r="C278" s="32" t="n"/>
      <c r="D278" s="33" t="n"/>
      <c r="E278" s="29" t="n"/>
      <c r="F278" s="29" t="n"/>
      <c r="G278" s="29" t="n"/>
      <c r="H278" s="29" t="n"/>
    </row>
    <row r="279">
      <c r="A279" s="31" t="n"/>
      <c r="B279" s="29" t="n"/>
      <c r="C279" s="32" t="n"/>
      <c r="D279" s="33" t="n"/>
      <c r="E279" s="29" t="n"/>
      <c r="F279" s="29" t="n"/>
      <c r="G279" s="29" t="n"/>
      <c r="H279" s="29" t="n"/>
    </row>
    <row r="280">
      <c r="A280" s="31" t="n"/>
      <c r="B280" s="29" t="n"/>
      <c r="C280" s="32" t="n"/>
      <c r="D280" s="33" t="n"/>
      <c r="E280" s="29" t="n"/>
      <c r="F280" s="29" t="n"/>
      <c r="G280" s="29" t="n"/>
      <c r="H280" s="29" t="n"/>
    </row>
    <row r="281">
      <c r="A281" s="31" t="n"/>
      <c r="B281" s="29" t="n"/>
      <c r="C281" s="32" t="n"/>
      <c r="D281" s="33" t="n"/>
      <c r="E281" s="29" t="n"/>
      <c r="F281" s="29" t="n"/>
      <c r="G281" s="29" t="n"/>
      <c r="H281" s="29" t="n"/>
    </row>
    <row r="282">
      <c r="A282" s="31" t="n"/>
      <c r="B282" s="29" t="n"/>
      <c r="C282" s="32" t="n"/>
      <c r="D282" s="33" t="n"/>
      <c r="E282" s="29" t="n"/>
      <c r="F282" s="29" t="n"/>
      <c r="G282" s="29" t="n"/>
      <c r="H282" s="29" t="n"/>
    </row>
    <row r="283">
      <c r="A283" s="31" t="n"/>
      <c r="B283" s="29" t="n"/>
      <c r="C283" s="32" t="n"/>
      <c r="D283" s="33" t="n"/>
      <c r="E283" s="29" t="n"/>
      <c r="F283" s="29" t="n"/>
      <c r="G283" s="29" t="n"/>
      <c r="H283" s="29" t="n"/>
    </row>
    <row r="284">
      <c r="A284" s="31" t="n"/>
      <c r="B284" s="29" t="n"/>
      <c r="C284" s="32" t="n"/>
      <c r="D284" s="33" t="n"/>
      <c r="E284" s="29" t="n"/>
      <c r="F284" s="29" t="n"/>
      <c r="G284" s="29" t="n"/>
      <c r="H284" s="29" t="n"/>
    </row>
    <row r="285">
      <c r="A285" s="31" t="n"/>
      <c r="B285" s="29" t="n"/>
      <c r="C285" s="32" t="n"/>
      <c r="D285" s="33" t="n"/>
      <c r="E285" s="29" t="n"/>
      <c r="F285" s="29" t="n"/>
      <c r="G285" s="29" t="n"/>
      <c r="H285" s="29" t="n"/>
    </row>
    <row r="286">
      <c r="A286" s="31" t="n"/>
      <c r="B286" s="29" t="n"/>
      <c r="C286" s="32" t="n"/>
      <c r="D286" s="33" t="n"/>
      <c r="E286" s="29" t="n"/>
      <c r="F286" s="29" t="n"/>
      <c r="G286" s="29" t="n"/>
      <c r="H286" s="29" t="n"/>
    </row>
    <row r="287">
      <c r="A287" s="31" t="n"/>
      <c r="B287" s="29" t="n"/>
      <c r="C287" s="32" t="n"/>
      <c r="D287" s="33" t="n"/>
      <c r="E287" s="29" t="n"/>
      <c r="F287" s="29" t="n"/>
      <c r="G287" s="29" t="n"/>
      <c r="H287" s="29" t="n"/>
    </row>
    <row r="288">
      <c r="A288" s="31" t="n"/>
      <c r="B288" s="29" t="n"/>
      <c r="C288" s="32" t="n"/>
      <c r="D288" s="33" t="n"/>
      <c r="E288" s="29" t="n"/>
      <c r="F288" s="29" t="n"/>
      <c r="G288" s="29" t="n"/>
      <c r="H288" s="29" t="n"/>
    </row>
    <row r="289">
      <c r="A289" s="31" t="n"/>
      <c r="B289" s="29" t="n"/>
      <c r="C289" s="32" t="n"/>
      <c r="D289" s="33" t="n"/>
      <c r="E289" s="29" t="n"/>
      <c r="F289" s="29" t="n"/>
      <c r="G289" s="29" t="n"/>
      <c r="H289" s="29" t="n"/>
    </row>
    <row r="290">
      <c r="A290" s="31" t="n"/>
      <c r="B290" s="29" t="n"/>
      <c r="C290" s="32" t="n"/>
      <c r="D290" s="33" t="n"/>
      <c r="E290" s="29" t="n"/>
      <c r="F290" s="29" t="n"/>
      <c r="G290" s="29" t="n"/>
      <c r="H290" s="29" t="n"/>
    </row>
    <row r="291">
      <c r="A291" s="31" t="n"/>
      <c r="B291" s="29" t="n"/>
      <c r="C291" s="32" t="n"/>
      <c r="D291" s="33" t="n"/>
      <c r="E291" s="29" t="n"/>
      <c r="F291" s="29" t="n"/>
      <c r="G291" s="29" t="n"/>
      <c r="H291" s="29" t="n"/>
    </row>
    <row r="292">
      <c r="A292" s="31" t="n"/>
      <c r="B292" s="29" t="n"/>
      <c r="C292" s="32" t="n"/>
      <c r="D292" s="33" t="n"/>
      <c r="E292" s="29" t="n"/>
      <c r="F292" s="29" t="n"/>
      <c r="G292" s="29" t="n"/>
      <c r="H292" s="29" t="n"/>
    </row>
    <row r="293">
      <c r="A293" s="31" t="n"/>
      <c r="B293" s="29" t="n"/>
      <c r="C293" s="32" t="n"/>
      <c r="D293" s="33" t="n"/>
      <c r="E293" s="29" t="n"/>
      <c r="F293" s="29" t="n"/>
      <c r="G293" s="29" t="n"/>
      <c r="H293" s="29" t="n"/>
    </row>
    <row r="294">
      <c r="A294" s="31" t="n"/>
      <c r="B294" s="29" t="n"/>
      <c r="C294" s="32" t="n"/>
      <c r="D294" s="33" t="n"/>
      <c r="E294" s="29" t="n"/>
      <c r="F294" s="29" t="n"/>
      <c r="G294" s="29" t="n"/>
      <c r="H294" s="29" t="n"/>
    </row>
    <row r="295">
      <c r="A295" s="31" t="n"/>
      <c r="B295" s="29" t="n"/>
      <c r="C295" s="32" t="n"/>
      <c r="D295" s="33" t="n"/>
      <c r="E295" s="29" t="n"/>
      <c r="F295" s="29" t="n"/>
      <c r="G295" s="29" t="n"/>
      <c r="H295" s="29" t="n"/>
    </row>
    <row r="296">
      <c r="A296" s="31" t="n"/>
      <c r="B296" s="29" t="n"/>
      <c r="C296" s="32" t="n"/>
      <c r="D296" s="33" t="n"/>
      <c r="E296" s="29" t="n"/>
      <c r="F296" s="29" t="n"/>
      <c r="G296" s="29" t="n"/>
      <c r="H296" s="29" t="n"/>
    </row>
    <row r="297">
      <c r="A297" s="31" t="n"/>
      <c r="B297" s="29" t="n"/>
      <c r="C297" s="32" t="n"/>
      <c r="D297" s="33" t="n"/>
      <c r="E297" s="29" t="n"/>
      <c r="F297" s="29" t="n"/>
      <c r="G297" s="29" t="n"/>
      <c r="H297" s="29" t="n"/>
    </row>
    <row r="298">
      <c r="A298" s="31" t="n"/>
      <c r="B298" s="29" t="n"/>
      <c r="C298" s="32" t="n"/>
      <c r="D298" s="33" t="n"/>
      <c r="E298" s="29" t="n"/>
      <c r="F298" s="29" t="n"/>
      <c r="G298" s="29" t="n"/>
      <c r="H298" s="29" t="n"/>
    </row>
    <row r="299">
      <c r="A299" s="31" t="n"/>
      <c r="B299" s="29" t="n"/>
      <c r="C299" s="32" t="n"/>
      <c r="D299" s="33" t="n"/>
      <c r="E299" s="29" t="n"/>
      <c r="F299" s="29" t="n"/>
      <c r="G299" s="29" t="n"/>
      <c r="H299" s="29" t="n"/>
    </row>
    <row r="300">
      <c r="A300" s="31" t="n"/>
      <c r="B300" s="29" t="n"/>
      <c r="C300" s="32" t="n"/>
      <c r="D300" s="33" t="n"/>
      <c r="E300" s="29" t="n"/>
      <c r="F300" s="29" t="n"/>
      <c r="G300" s="29" t="n"/>
      <c r="H300" s="29" t="n"/>
    </row>
    <row r="301">
      <c r="A301" s="31" t="n"/>
      <c r="B301" s="29" t="n"/>
      <c r="C301" s="32" t="n"/>
      <c r="D301" s="33" t="n"/>
      <c r="E301" s="29" t="n"/>
      <c r="F301" s="29" t="n"/>
      <c r="G301" s="29" t="n"/>
      <c r="H301" s="29" t="n"/>
    </row>
    <row r="302">
      <c r="A302" s="31" t="n"/>
      <c r="B302" s="29" t="n"/>
      <c r="C302" s="32" t="n"/>
      <c r="D302" s="33" t="n"/>
      <c r="E302" s="29" t="n"/>
      <c r="F302" s="29" t="n"/>
      <c r="G302" s="29" t="n"/>
      <c r="H302" s="29" t="n"/>
    </row>
    <row r="303">
      <c r="A303" s="31" t="n"/>
      <c r="B303" s="29" t="n"/>
      <c r="C303" s="32" t="n"/>
      <c r="D303" s="33" t="n"/>
      <c r="E303" s="29" t="n"/>
      <c r="F303" s="29" t="n"/>
      <c r="G303" s="29" t="n"/>
      <c r="H303" s="29" t="n"/>
    </row>
    <row r="304">
      <c r="A304" s="31" t="n"/>
      <c r="B304" s="29" t="n"/>
      <c r="C304" s="32" t="n"/>
      <c r="D304" s="33" t="n"/>
      <c r="E304" s="29" t="n"/>
      <c r="F304" s="29" t="n"/>
      <c r="G304" s="29" t="n"/>
      <c r="H304" s="29" t="n"/>
    </row>
    <row r="305">
      <c r="A305" s="31" t="n"/>
      <c r="B305" s="29" t="n"/>
      <c r="C305" s="32" t="n"/>
      <c r="D305" s="33" t="n"/>
      <c r="E305" s="29" t="n"/>
      <c r="F305" s="29" t="n"/>
      <c r="G305" s="29" t="n"/>
      <c r="H305" s="29" t="n"/>
    </row>
    <row r="306">
      <c r="A306" s="31" t="n"/>
      <c r="B306" s="29" t="n"/>
      <c r="C306" s="32" t="n"/>
      <c r="D306" s="33" t="n"/>
      <c r="E306" s="29" t="n"/>
      <c r="F306" s="29" t="n"/>
      <c r="G306" s="29" t="n"/>
      <c r="H306" s="29" t="n"/>
    </row>
    <row r="307">
      <c r="A307" s="31" t="n"/>
      <c r="B307" s="29" t="n"/>
      <c r="C307" s="32" t="n"/>
      <c r="D307" s="33" t="n"/>
      <c r="E307" s="29" t="n"/>
      <c r="F307" s="29" t="n"/>
      <c r="G307" s="29" t="n"/>
      <c r="H307" s="29" t="n"/>
    </row>
    <row r="308">
      <c r="A308" s="31" t="n"/>
      <c r="B308" s="29" t="n"/>
      <c r="C308" s="32" t="n"/>
      <c r="D308" s="33" t="n"/>
      <c r="E308" s="29" t="n"/>
      <c r="F308" s="29" t="n"/>
      <c r="G308" s="29" t="n"/>
      <c r="H308" s="29" t="n"/>
    </row>
    <row r="309">
      <c r="A309" s="31" t="n"/>
      <c r="B309" s="29" t="n"/>
      <c r="C309" s="32" t="n"/>
      <c r="D309" s="33" t="n"/>
      <c r="E309" s="29" t="n"/>
      <c r="F309" s="29" t="n"/>
      <c r="G309" s="29" t="n"/>
      <c r="H309" s="29" t="n"/>
    </row>
    <row r="310">
      <c r="A310" s="31" t="n"/>
      <c r="B310" s="29" t="n"/>
      <c r="C310" s="32" t="n"/>
      <c r="D310" s="33" t="n"/>
      <c r="E310" s="29" t="n"/>
      <c r="F310" s="29" t="n"/>
      <c r="G310" s="29" t="n"/>
      <c r="H310" s="29" t="n"/>
    </row>
    <row r="311">
      <c r="A311" s="31" t="n"/>
      <c r="B311" s="29" t="n"/>
      <c r="C311" s="32" t="n"/>
      <c r="D311" s="33" t="n"/>
      <c r="E311" s="29" t="n"/>
      <c r="F311" s="29" t="n"/>
      <c r="G311" s="29" t="n"/>
      <c r="H311" s="29" t="n"/>
    </row>
    <row r="312">
      <c r="A312" s="31" t="n"/>
      <c r="B312" s="29" t="n"/>
      <c r="C312" s="32" t="n"/>
      <c r="D312" s="33" t="n"/>
      <c r="E312" s="29" t="n"/>
      <c r="F312" s="29" t="n"/>
      <c r="G312" s="29" t="n"/>
      <c r="H312" s="29" t="n"/>
    </row>
    <row r="313">
      <c r="A313" s="31" t="n"/>
      <c r="B313" s="29" t="n"/>
      <c r="C313" s="32" t="n"/>
      <c r="D313" s="33" t="n"/>
      <c r="E313" s="29" t="n"/>
      <c r="F313" s="29" t="n"/>
      <c r="G313" s="29" t="n"/>
      <c r="H313" s="29" t="n"/>
    </row>
    <row r="314">
      <c r="A314" s="31" t="n"/>
      <c r="B314" s="29" t="n"/>
      <c r="C314" s="32" t="n"/>
      <c r="D314" s="33" t="n"/>
      <c r="E314" s="29" t="n"/>
      <c r="F314" s="29" t="n"/>
      <c r="G314" s="29" t="n"/>
      <c r="H314" s="29" t="n"/>
    </row>
    <row r="315">
      <c r="A315" s="31" t="n"/>
      <c r="B315" s="29" t="n"/>
      <c r="C315" s="32" t="n"/>
      <c r="D315" s="33" t="n"/>
      <c r="E315" s="29" t="n"/>
      <c r="F315" s="29" t="n"/>
      <c r="G315" s="29" t="n"/>
      <c r="H315" s="29" t="n"/>
    </row>
    <row r="316">
      <c r="A316" s="31" t="n"/>
      <c r="B316" s="29" t="n"/>
      <c r="C316" s="32" t="n"/>
      <c r="D316" s="33" t="n"/>
      <c r="E316" s="29" t="n"/>
      <c r="F316" s="29" t="n"/>
      <c r="G316" s="29" t="n"/>
      <c r="H316" s="29" t="n"/>
    </row>
    <row r="317">
      <c r="A317" s="31" t="n"/>
      <c r="B317" s="29" t="n"/>
      <c r="C317" s="32" t="n"/>
      <c r="D317" s="33" t="n"/>
      <c r="E317" s="29" t="n"/>
      <c r="F317" s="29" t="n"/>
      <c r="G317" s="29" t="n"/>
      <c r="H317" s="29" t="n"/>
    </row>
    <row r="318">
      <c r="A318" s="31" t="n"/>
      <c r="B318" s="29" t="n"/>
      <c r="C318" s="32" t="n"/>
      <c r="D318" s="33" t="n"/>
      <c r="E318" s="29" t="n"/>
      <c r="F318" s="29" t="n"/>
      <c r="G318" s="29" t="n"/>
      <c r="H318" s="29" t="n"/>
    </row>
    <row r="319">
      <c r="A319" s="31" t="n"/>
      <c r="B319" s="29" t="n"/>
      <c r="C319" s="32" t="n"/>
      <c r="D319" s="33" t="n"/>
      <c r="E319" s="29" t="n"/>
      <c r="F319" s="29" t="n"/>
      <c r="G319" s="29" t="n"/>
      <c r="H319" s="29" t="n"/>
    </row>
    <row r="320">
      <c r="A320" s="31" t="n"/>
      <c r="B320" s="29" t="n"/>
      <c r="C320" s="32" t="n"/>
      <c r="D320" s="33" t="n"/>
      <c r="E320" s="29" t="n"/>
      <c r="F320" s="29" t="n"/>
      <c r="G320" s="29" t="n"/>
      <c r="H320" s="29" t="n"/>
    </row>
    <row r="321">
      <c r="A321" s="31" t="n"/>
      <c r="B321" s="29" t="n"/>
      <c r="C321" s="32" t="n"/>
      <c r="D321" s="33" t="n"/>
      <c r="E321" s="29" t="n"/>
      <c r="F321" s="29" t="n"/>
      <c r="G321" s="29" t="n"/>
      <c r="H321" s="29" t="n"/>
    </row>
    <row r="322">
      <c r="A322" s="31" t="n"/>
      <c r="B322" s="29" t="n"/>
      <c r="C322" s="32" t="n"/>
      <c r="D322" s="33" t="n"/>
      <c r="E322" s="29" t="n"/>
      <c r="F322" s="29" t="n"/>
      <c r="G322" s="29" t="n"/>
      <c r="H322" s="29" t="n"/>
    </row>
    <row r="323">
      <c r="A323" s="31" t="n"/>
      <c r="B323" s="29" t="n"/>
      <c r="C323" s="32" t="n"/>
      <c r="D323" s="33" t="n"/>
      <c r="E323" s="29" t="n"/>
      <c r="F323" s="29" t="n"/>
      <c r="G323" s="29" t="n"/>
      <c r="H323" s="29" t="n"/>
    </row>
    <row r="324">
      <c r="A324" s="31" t="n"/>
      <c r="B324" s="29" t="n"/>
      <c r="C324" s="32" t="n"/>
      <c r="D324" s="33" t="n"/>
      <c r="E324" s="29" t="n"/>
      <c r="F324" s="29" t="n"/>
      <c r="G324" s="29" t="n"/>
      <c r="H324" s="29" t="n"/>
    </row>
    <row r="325">
      <c r="A325" s="31" t="n"/>
      <c r="B325" s="29" t="n"/>
      <c r="C325" s="32" t="n"/>
      <c r="D325" s="33" t="n"/>
      <c r="E325" s="29" t="n"/>
      <c r="F325" s="29" t="n"/>
      <c r="G325" s="29" t="n"/>
      <c r="H325" s="29" t="n"/>
    </row>
    <row r="326">
      <c r="A326" s="31" t="n"/>
      <c r="B326" s="29" t="n"/>
      <c r="C326" s="32" t="n"/>
      <c r="D326" s="33" t="n"/>
      <c r="E326" s="29" t="n"/>
      <c r="F326" s="29" t="n"/>
      <c r="G326" s="29" t="n"/>
      <c r="H326" s="29" t="n"/>
    </row>
    <row r="327">
      <c r="A327" s="31" t="n"/>
      <c r="B327" s="29" t="n"/>
      <c r="C327" s="32" t="n"/>
      <c r="D327" s="33" t="n"/>
      <c r="E327" s="29" t="n"/>
      <c r="F327" s="29" t="n"/>
      <c r="G327" s="29" t="n"/>
      <c r="H327" s="29" t="n"/>
    </row>
    <row r="328">
      <c r="A328" s="31" t="n"/>
      <c r="B328" s="29" t="n"/>
      <c r="C328" s="32" t="n"/>
      <c r="D328" s="33" t="n"/>
      <c r="E328" s="29" t="n"/>
      <c r="F328" s="29" t="n"/>
      <c r="G328" s="29" t="n"/>
      <c r="H328" s="29" t="n"/>
    </row>
    <row r="329">
      <c r="A329" s="31" t="n"/>
      <c r="B329" s="29" t="n"/>
      <c r="C329" s="32" t="n"/>
      <c r="D329" s="33" t="n"/>
      <c r="E329" s="29" t="n"/>
      <c r="F329" s="29" t="n"/>
      <c r="G329" s="29" t="n"/>
      <c r="H329" s="29" t="n"/>
    </row>
    <row r="330">
      <c r="A330" s="31" t="n"/>
      <c r="B330" s="29" t="n"/>
      <c r="C330" s="32" t="n"/>
      <c r="D330" s="33" t="n"/>
      <c r="E330" s="29" t="n"/>
      <c r="F330" s="29" t="n"/>
      <c r="G330" s="29" t="n"/>
      <c r="H330" s="29" t="n"/>
    </row>
    <row r="331">
      <c r="A331" s="31" t="n"/>
      <c r="B331" s="29" t="n"/>
      <c r="C331" s="32" t="n"/>
      <c r="D331" s="33" t="n"/>
      <c r="E331" s="29" t="n"/>
      <c r="F331" s="29" t="n"/>
      <c r="G331" s="29" t="n"/>
      <c r="H331" s="29" t="n"/>
    </row>
    <row r="332">
      <c r="A332" s="31" t="n"/>
      <c r="B332" s="29" t="n"/>
      <c r="C332" s="32" t="n"/>
      <c r="D332" s="33" t="n"/>
      <c r="E332" s="29" t="n"/>
      <c r="F332" s="29" t="n"/>
      <c r="G332" s="29" t="n"/>
      <c r="H332" s="29" t="n"/>
    </row>
    <row r="333">
      <c r="A333" s="31" t="n"/>
      <c r="B333" s="29" t="n"/>
      <c r="C333" s="32" t="n"/>
      <c r="D333" s="33" t="n"/>
      <c r="E333" s="29" t="n"/>
      <c r="F333" s="29" t="n"/>
      <c r="G333" s="29" t="n"/>
      <c r="H333" s="29" t="n"/>
    </row>
    <row r="334">
      <c r="A334" s="31" t="n"/>
      <c r="B334" s="29" t="n"/>
      <c r="C334" s="32" t="n"/>
      <c r="D334" s="33" t="n"/>
      <c r="E334" s="29" t="n"/>
      <c r="F334" s="29" t="n"/>
      <c r="G334" s="29" t="n"/>
      <c r="H334" s="29" t="n"/>
    </row>
    <row r="335">
      <c r="A335" s="31" t="n"/>
      <c r="B335" s="29" t="n"/>
      <c r="C335" s="32" t="n"/>
      <c r="D335" s="33" t="n"/>
      <c r="E335" s="29" t="n"/>
      <c r="F335" s="29" t="n"/>
      <c r="G335" s="29" t="n"/>
      <c r="H335" s="29" t="n"/>
    </row>
    <row r="336">
      <c r="A336" s="31" t="n"/>
      <c r="B336" s="29" t="n"/>
      <c r="C336" s="32" t="n"/>
      <c r="D336" s="33" t="n"/>
      <c r="E336" s="29" t="n"/>
      <c r="F336" s="29" t="n"/>
      <c r="G336" s="29" t="n"/>
      <c r="H336" s="29" t="n"/>
    </row>
    <row r="337">
      <c r="A337" s="31" t="n"/>
      <c r="B337" s="29" t="n"/>
      <c r="C337" s="32" t="n"/>
      <c r="D337" s="33" t="n"/>
      <c r="E337" s="29" t="n"/>
      <c r="F337" s="29" t="n"/>
      <c r="G337" s="29" t="n"/>
      <c r="H337" s="29" t="n"/>
    </row>
    <row r="338">
      <c r="A338" s="31" t="n"/>
      <c r="B338" s="29" t="n"/>
      <c r="C338" s="32" t="n"/>
      <c r="D338" s="33" t="n"/>
      <c r="E338" s="29" t="n"/>
      <c r="F338" s="29" t="n"/>
      <c r="G338" s="29" t="n"/>
      <c r="H338" s="29" t="n"/>
    </row>
    <row r="339">
      <c r="A339" s="31" t="n"/>
      <c r="B339" s="29" t="n"/>
      <c r="C339" s="32" t="n"/>
      <c r="D339" s="33" t="n"/>
      <c r="E339" s="29" t="n"/>
      <c r="F339" s="29" t="n"/>
      <c r="G339" s="29" t="n"/>
      <c r="H339" s="29" t="n"/>
    </row>
    <row r="340">
      <c r="A340" s="31" t="n"/>
      <c r="B340" s="29" t="n"/>
      <c r="C340" s="32" t="n"/>
      <c r="D340" s="33" t="n"/>
      <c r="E340" s="29" t="n"/>
      <c r="F340" s="29" t="n"/>
      <c r="G340" s="29" t="n"/>
      <c r="H340" s="29" t="n"/>
    </row>
    <row r="341">
      <c r="A341" s="31" t="n"/>
      <c r="B341" s="29" t="n"/>
      <c r="C341" s="32" t="n"/>
      <c r="D341" s="33" t="n"/>
      <c r="E341" s="29" t="n"/>
      <c r="F341" s="29" t="n"/>
      <c r="G341" s="29" t="n"/>
      <c r="H341" s="29" t="n"/>
    </row>
    <row r="342">
      <c r="A342" s="31" t="n"/>
      <c r="B342" s="29" t="n"/>
      <c r="C342" s="32" t="n"/>
      <c r="D342" s="33" t="n"/>
      <c r="E342" s="29" t="n"/>
      <c r="F342" s="29" t="n"/>
      <c r="G342" s="29" t="n"/>
      <c r="H342" s="29" t="n"/>
    </row>
    <row r="343">
      <c r="A343" s="31" t="n"/>
      <c r="B343" s="29" t="n"/>
      <c r="C343" s="32" t="n"/>
      <c r="D343" s="33" t="n"/>
      <c r="E343" s="29" t="n"/>
      <c r="F343" s="29" t="n"/>
      <c r="G343" s="29" t="n"/>
      <c r="H343" s="29" t="n"/>
    </row>
    <row r="344">
      <c r="A344" s="31" t="n"/>
      <c r="B344" s="29" t="n"/>
      <c r="C344" s="32" t="n"/>
      <c r="D344" s="33" t="n"/>
      <c r="E344" s="29" t="n"/>
      <c r="F344" s="29" t="n"/>
      <c r="G344" s="29" t="n"/>
      <c r="H344" s="29" t="n"/>
    </row>
    <row r="345">
      <c r="A345" s="31" t="n"/>
      <c r="B345" s="29" t="n"/>
      <c r="C345" s="32" t="n"/>
      <c r="D345" s="33" t="n"/>
      <c r="E345" s="29" t="n"/>
      <c r="F345" s="29" t="n"/>
      <c r="G345" s="29" t="n"/>
      <c r="H345" s="29" t="n"/>
    </row>
    <row r="346">
      <c r="A346" s="31" t="n"/>
      <c r="B346" s="29" t="n"/>
      <c r="C346" s="32" t="n"/>
      <c r="D346" s="33" t="n"/>
      <c r="E346" s="29" t="n"/>
      <c r="F346" s="29" t="n"/>
      <c r="G346" s="29" t="n"/>
      <c r="H346" s="29" t="n"/>
    </row>
    <row r="347">
      <c r="A347" s="31" t="n"/>
      <c r="B347" s="29" t="n"/>
      <c r="C347" s="32" t="n"/>
      <c r="D347" s="33" t="n"/>
      <c r="E347" s="29" t="n"/>
      <c r="F347" s="29" t="n"/>
      <c r="G347" s="29" t="n"/>
      <c r="H347" s="29" t="n"/>
    </row>
    <row r="348">
      <c r="A348" s="31" t="n"/>
      <c r="B348" s="29" t="n"/>
      <c r="C348" s="32" t="n"/>
      <c r="D348" s="33" t="n"/>
      <c r="E348" s="29" t="n"/>
      <c r="F348" s="29" t="n"/>
      <c r="G348" s="29" t="n"/>
      <c r="H348" s="29" t="n"/>
    </row>
    <row r="349">
      <c r="A349" s="31" t="n"/>
      <c r="B349" s="29" t="n"/>
      <c r="C349" s="32" t="n"/>
      <c r="D349" s="33" t="n"/>
      <c r="E349" s="29" t="n"/>
      <c r="F349" s="29" t="n"/>
      <c r="G349" s="29" t="n"/>
      <c r="H349" s="29" t="n"/>
    </row>
    <row r="350">
      <c r="A350" s="31" t="n"/>
      <c r="B350" s="29" t="n"/>
      <c r="C350" s="32" t="n"/>
      <c r="D350" s="33" t="n"/>
      <c r="E350" s="29" t="n"/>
      <c r="F350" s="29" t="n"/>
      <c r="G350" s="29" t="n"/>
      <c r="H350" s="29" t="n"/>
    </row>
    <row r="351">
      <c r="A351" s="31" t="n"/>
      <c r="B351" s="29" t="n"/>
      <c r="C351" s="32" t="n"/>
      <c r="D351" s="33" t="n"/>
      <c r="E351" s="29" t="n"/>
      <c r="F351" s="29" t="n"/>
      <c r="G351" s="29" t="n"/>
      <c r="H351" s="29" t="n"/>
    </row>
    <row r="352">
      <c r="A352" s="31" t="n"/>
      <c r="B352" s="29" t="n"/>
      <c r="C352" s="32" t="n"/>
      <c r="D352" s="33" t="n"/>
      <c r="E352" s="29" t="n"/>
      <c r="F352" s="29" t="n"/>
      <c r="G352" s="29" t="n"/>
      <c r="H352" s="29" t="n"/>
    </row>
    <row r="353">
      <c r="A353" s="31" t="n"/>
      <c r="B353" s="29" t="n"/>
      <c r="C353" s="32" t="n"/>
      <c r="D353" s="33" t="n"/>
      <c r="E353" s="29" t="n"/>
      <c r="F353" s="29" t="n"/>
      <c r="G353" s="29" t="n"/>
      <c r="H353" s="29" t="n"/>
    </row>
    <row r="354">
      <c r="A354" s="31" t="n"/>
      <c r="B354" s="29" t="n"/>
      <c r="C354" s="32" t="n"/>
      <c r="D354" s="33" t="n"/>
      <c r="E354" s="29" t="n"/>
      <c r="F354" s="29" t="n"/>
      <c r="G354" s="29" t="n"/>
      <c r="H354" s="29" t="n"/>
    </row>
    <row r="355">
      <c r="A355" s="31" t="n"/>
      <c r="B355" s="29" t="n"/>
      <c r="C355" s="32" t="n"/>
      <c r="D355" s="33" t="n"/>
      <c r="E355" s="29" t="n"/>
      <c r="F355" s="29" t="n"/>
      <c r="G355" s="29" t="n"/>
      <c r="H355" s="29" t="n"/>
    </row>
    <row r="356">
      <c r="A356" s="31" t="n"/>
      <c r="B356" s="29" t="n"/>
      <c r="C356" s="32" t="n"/>
      <c r="D356" s="33" t="n"/>
      <c r="E356" s="29" t="n"/>
      <c r="F356" s="29" t="n"/>
      <c r="G356" s="29" t="n"/>
      <c r="H356" s="29" t="n"/>
    </row>
    <row r="357">
      <c r="A357" s="31" t="n"/>
      <c r="B357" s="29" t="n"/>
      <c r="C357" s="32" t="n"/>
      <c r="D357" s="33" t="n"/>
      <c r="E357" s="29" t="n"/>
      <c r="F357" s="29" t="n"/>
      <c r="G357" s="29" t="n"/>
      <c r="H357" s="29" t="n"/>
    </row>
    <row r="358">
      <c r="A358" s="31" t="n"/>
      <c r="B358" s="29" t="n"/>
      <c r="C358" s="32" t="n"/>
      <c r="D358" s="33" t="n"/>
      <c r="E358" s="29" t="n"/>
      <c r="F358" s="29" t="n"/>
      <c r="G358" s="29" t="n"/>
      <c r="H358" s="29" t="n"/>
    </row>
    <row r="359">
      <c r="A359" s="31" t="n"/>
      <c r="B359" s="29" t="n"/>
      <c r="C359" s="32" t="n"/>
      <c r="D359" s="33" t="n"/>
      <c r="E359" s="29" t="n"/>
      <c r="F359" s="29" t="n"/>
      <c r="G359" s="29" t="n"/>
      <c r="H359" s="29" t="n"/>
    </row>
    <row r="360">
      <c r="A360" s="31" t="n"/>
      <c r="B360" s="29" t="n"/>
      <c r="C360" s="32" t="n"/>
      <c r="D360" s="33" t="n"/>
      <c r="E360" s="29" t="n"/>
      <c r="F360" s="29" t="n"/>
      <c r="G360" s="29" t="n"/>
      <c r="H360" s="29" t="n"/>
    </row>
    <row r="361">
      <c r="A361" s="31" t="n"/>
      <c r="B361" s="29" t="n"/>
      <c r="C361" s="32" t="n"/>
      <c r="D361" s="33" t="n"/>
      <c r="E361" s="29" t="n"/>
      <c r="F361" s="29" t="n"/>
      <c r="G361" s="29" t="n"/>
      <c r="H361" s="29" t="n"/>
    </row>
    <row r="362">
      <c r="A362" s="31" t="n"/>
      <c r="B362" s="29" t="n"/>
      <c r="C362" s="32" t="n"/>
      <c r="D362" s="33" t="n"/>
      <c r="E362" s="29" t="n"/>
      <c r="F362" s="29" t="n"/>
      <c r="G362" s="29" t="n"/>
      <c r="H362" s="29" t="n"/>
    </row>
    <row r="363">
      <c r="A363" s="31" t="n"/>
      <c r="B363" s="29" t="n"/>
      <c r="C363" s="32" t="n"/>
      <c r="D363" s="33" t="n"/>
      <c r="E363" s="29" t="n"/>
      <c r="F363" s="29" t="n"/>
      <c r="G363" s="29" t="n"/>
      <c r="H363" s="29" t="n"/>
    </row>
    <row r="364">
      <c r="A364" s="31" t="n"/>
      <c r="B364" s="29" t="n"/>
      <c r="C364" s="32" t="n"/>
      <c r="D364" s="33" t="n"/>
      <c r="E364" s="29" t="n"/>
      <c r="F364" s="29" t="n"/>
      <c r="G364" s="29" t="n"/>
      <c r="H364" s="29" t="n"/>
    </row>
    <row r="365">
      <c r="A365" s="31" t="n"/>
      <c r="B365" s="29" t="n"/>
      <c r="C365" s="32" t="n"/>
      <c r="D365" s="33" t="n"/>
      <c r="E365" s="29" t="n"/>
      <c r="F365" s="29" t="n"/>
      <c r="G365" s="29" t="n"/>
      <c r="H365" s="29" t="n"/>
    </row>
    <row r="366">
      <c r="A366" s="31" t="n"/>
      <c r="B366" s="29" t="n"/>
      <c r="C366" s="32" t="n"/>
      <c r="D366" s="33" t="n"/>
      <c r="E366" s="29" t="n"/>
      <c r="F366" s="29" t="n"/>
      <c r="G366" s="29" t="n"/>
      <c r="H366" s="29" t="n"/>
    </row>
    <row r="367">
      <c r="A367" s="31" t="n"/>
      <c r="B367" s="29" t="n"/>
      <c r="C367" s="32" t="n"/>
      <c r="D367" s="33" t="n"/>
      <c r="E367" s="29" t="n"/>
      <c r="F367" s="29" t="n"/>
      <c r="G367" s="29" t="n"/>
      <c r="H367" s="29" t="n"/>
    </row>
    <row r="368">
      <c r="A368" s="31" t="n"/>
      <c r="B368" s="29" t="n"/>
      <c r="C368" s="32" t="n"/>
      <c r="D368" s="33" t="n"/>
      <c r="E368" s="29" t="n"/>
      <c r="F368" s="29" t="n"/>
      <c r="G368" s="29" t="n"/>
      <c r="H368" s="29" t="n"/>
    </row>
    <row r="369">
      <c r="A369" s="31" t="n"/>
      <c r="B369" s="29" t="n"/>
      <c r="C369" s="32" t="n"/>
      <c r="D369" s="33" t="n"/>
      <c r="E369" s="29" t="n"/>
      <c r="F369" s="29" t="n"/>
      <c r="G369" s="29" t="n"/>
      <c r="H369" s="29" t="n"/>
    </row>
    <row r="370">
      <c r="A370" s="31" t="n"/>
      <c r="B370" s="29" t="n"/>
      <c r="C370" s="32" t="n"/>
      <c r="D370" s="33" t="n"/>
      <c r="E370" s="29" t="n"/>
      <c r="F370" s="29" t="n"/>
      <c r="G370" s="29" t="n"/>
      <c r="H370" s="29" t="n"/>
    </row>
    <row r="371">
      <c r="A371" s="31" t="n"/>
      <c r="B371" s="29" t="n"/>
      <c r="C371" s="32" t="n"/>
      <c r="D371" s="33" t="n"/>
      <c r="E371" s="29" t="n"/>
      <c r="F371" s="29" t="n"/>
      <c r="G371" s="29" t="n"/>
      <c r="H371" s="29" t="n"/>
    </row>
    <row r="372">
      <c r="A372" s="31" t="n"/>
      <c r="B372" s="29" t="n"/>
      <c r="C372" s="32" t="n"/>
      <c r="D372" s="33" t="n"/>
      <c r="E372" s="29" t="n"/>
      <c r="F372" s="29" t="n"/>
      <c r="G372" s="29" t="n"/>
      <c r="H372" s="29" t="n"/>
    </row>
    <row r="373">
      <c r="A373" s="31" t="n"/>
      <c r="B373" s="29" t="n"/>
      <c r="C373" s="32" t="n"/>
      <c r="D373" s="33" t="n"/>
      <c r="E373" s="29" t="n"/>
      <c r="F373" s="29" t="n"/>
      <c r="G373" s="29" t="n"/>
      <c r="H373" s="29" t="n"/>
    </row>
    <row r="374">
      <c r="A374" s="31" t="n"/>
      <c r="B374" s="29" t="n"/>
      <c r="C374" s="32" t="n"/>
      <c r="D374" s="33" t="n"/>
      <c r="E374" s="29" t="n"/>
      <c r="F374" s="29" t="n"/>
      <c r="G374" s="29" t="n"/>
      <c r="H374" s="29" t="n"/>
    </row>
    <row r="375">
      <c r="A375" s="31" t="n"/>
      <c r="B375" s="29" t="n"/>
      <c r="C375" s="32" t="n"/>
      <c r="D375" s="33" t="n"/>
      <c r="E375" s="29" t="n"/>
      <c r="F375" s="29" t="n"/>
      <c r="G375" s="29" t="n"/>
      <c r="H375" s="29" t="n"/>
    </row>
    <row r="376">
      <c r="A376" s="31" t="n"/>
      <c r="B376" s="29" t="n"/>
      <c r="C376" s="32" t="n"/>
      <c r="D376" s="33" t="n"/>
      <c r="E376" s="29" t="n"/>
      <c r="F376" s="29" t="n"/>
      <c r="G376" s="29" t="n"/>
      <c r="H376" s="29" t="n"/>
    </row>
    <row r="377">
      <c r="A377" s="31" t="n"/>
      <c r="B377" s="29" t="n"/>
      <c r="C377" s="32" t="n"/>
      <c r="D377" s="33" t="n"/>
      <c r="E377" s="29" t="n"/>
      <c r="F377" s="29" t="n"/>
      <c r="G377" s="29" t="n"/>
      <c r="H377" s="29" t="n"/>
    </row>
    <row r="378">
      <c r="A378" s="31" t="n"/>
      <c r="B378" s="29" t="n"/>
      <c r="C378" s="32" t="n"/>
      <c r="D378" s="33" t="n"/>
      <c r="E378" s="29" t="n"/>
      <c r="F378" s="29" t="n"/>
      <c r="G378" s="29" t="n"/>
      <c r="H378" s="29" t="n"/>
    </row>
    <row r="379">
      <c r="A379" s="31" t="n"/>
      <c r="B379" s="29" t="n"/>
      <c r="C379" s="32" t="n"/>
      <c r="D379" s="33" t="n"/>
      <c r="E379" s="29" t="n"/>
      <c r="F379" s="29" t="n"/>
      <c r="G379" s="29" t="n"/>
      <c r="H379" s="29" t="n"/>
    </row>
    <row r="380">
      <c r="A380" s="31" t="n"/>
      <c r="B380" s="29" t="n"/>
      <c r="C380" s="32" t="n"/>
      <c r="D380" s="33" t="n"/>
      <c r="E380" s="29" t="n"/>
      <c r="F380" s="29" t="n"/>
      <c r="G380" s="29" t="n"/>
      <c r="H380" s="29" t="n"/>
    </row>
    <row r="381">
      <c r="A381" s="31" t="n"/>
      <c r="B381" s="29" t="n"/>
      <c r="C381" s="32" t="n"/>
      <c r="D381" s="33" t="n"/>
      <c r="E381" s="29" t="n"/>
      <c r="F381" s="29" t="n"/>
      <c r="G381" s="29" t="n"/>
      <c r="H381" s="29" t="n"/>
    </row>
    <row r="382">
      <c r="A382" s="31" t="n"/>
      <c r="B382" s="29" t="n"/>
      <c r="C382" s="32" t="n"/>
      <c r="D382" s="33" t="n"/>
      <c r="E382" s="29" t="n"/>
      <c r="F382" s="29" t="n"/>
      <c r="G382" s="29" t="n"/>
      <c r="H382" s="29" t="n"/>
    </row>
    <row r="383">
      <c r="A383" s="31" t="n"/>
      <c r="B383" s="29" t="n"/>
      <c r="C383" s="32" t="n"/>
      <c r="D383" s="33" t="n"/>
      <c r="E383" s="29" t="n"/>
      <c r="F383" s="29" t="n"/>
      <c r="G383" s="29" t="n"/>
      <c r="H383" s="29" t="n"/>
    </row>
    <row r="384">
      <c r="A384" s="31" t="n"/>
      <c r="B384" s="29" t="n"/>
      <c r="C384" s="32" t="n"/>
      <c r="D384" s="33" t="n"/>
      <c r="E384" s="29" t="n"/>
      <c r="F384" s="29" t="n"/>
      <c r="G384" s="29" t="n"/>
      <c r="H384" s="29" t="n"/>
    </row>
    <row r="385">
      <c r="A385" s="31" t="n"/>
      <c r="B385" s="29" t="n"/>
      <c r="C385" s="32" t="n"/>
      <c r="D385" s="33" t="n"/>
      <c r="E385" s="29" t="n"/>
      <c r="F385" s="29" t="n"/>
      <c r="G385" s="29" t="n"/>
      <c r="H385" s="29" t="n"/>
    </row>
    <row r="386">
      <c r="A386" s="31" t="n"/>
      <c r="B386" s="29" t="n"/>
      <c r="C386" s="32" t="n"/>
      <c r="D386" s="33" t="n"/>
      <c r="E386" s="29" t="n"/>
      <c r="F386" s="29" t="n"/>
      <c r="G386" s="29" t="n"/>
      <c r="H386" s="29" t="n"/>
    </row>
    <row r="387">
      <c r="A387" s="31" t="n"/>
      <c r="B387" s="29" t="n"/>
      <c r="C387" s="32" t="n"/>
      <c r="D387" s="33" t="n"/>
      <c r="E387" s="29" t="n"/>
      <c r="F387" s="29" t="n"/>
      <c r="G387" s="29" t="n"/>
      <c r="H387" s="29" t="n"/>
    </row>
    <row r="388">
      <c r="A388" s="31" t="n"/>
      <c r="B388" s="29" t="n"/>
      <c r="C388" s="32" t="n"/>
      <c r="D388" s="33" t="n"/>
      <c r="E388" s="29" t="n"/>
      <c r="F388" s="29" t="n"/>
      <c r="G388" s="29" t="n"/>
      <c r="H388" s="29" t="n"/>
    </row>
    <row r="389">
      <c r="A389" s="31" t="n"/>
      <c r="B389" s="29" t="n"/>
      <c r="C389" s="32" t="n"/>
      <c r="D389" s="33" t="n"/>
      <c r="E389" s="29" t="n"/>
      <c r="F389" s="29" t="n"/>
      <c r="G389" s="29" t="n"/>
      <c r="H389" s="29" t="n"/>
    </row>
    <row r="390">
      <c r="A390" s="31" t="n"/>
      <c r="B390" s="29" t="n"/>
      <c r="C390" s="32" t="n"/>
      <c r="D390" s="33" t="n"/>
      <c r="E390" s="29" t="n"/>
      <c r="F390" s="29" t="n"/>
      <c r="G390" s="29" t="n"/>
      <c r="H390" s="29" t="n"/>
    </row>
    <row r="391">
      <c r="A391" s="31" t="n"/>
      <c r="B391" s="29" t="n"/>
      <c r="C391" s="32" t="n"/>
      <c r="D391" s="33" t="n"/>
      <c r="E391" s="29" t="n"/>
      <c r="F391" s="29" t="n"/>
      <c r="G391" s="29" t="n"/>
      <c r="H391" s="29" t="n"/>
    </row>
    <row r="392">
      <c r="A392" s="31" t="n"/>
      <c r="B392" s="29" t="n"/>
      <c r="C392" s="32" t="n"/>
      <c r="D392" s="33" t="n"/>
      <c r="E392" s="29" t="n"/>
      <c r="F392" s="29" t="n"/>
      <c r="G392" s="29" t="n"/>
      <c r="H392" s="29" t="n"/>
    </row>
    <row r="393">
      <c r="A393" s="31" t="n"/>
      <c r="B393" s="29" t="n"/>
      <c r="C393" s="32" t="n"/>
      <c r="D393" s="33" t="n"/>
      <c r="E393" s="29" t="n"/>
      <c r="F393" s="29" t="n"/>
      <c r="G393" s="29" t="n"/>
      <c r="H393" s="29" t="n"/>
    </row>
    <row r="394">
      <c r="A394" s="31" t="n"/>
      <c r="B394" s="29" t="n"/>
      <c r="C394" s="32" t="n"/>
      <c r="D394" s="33" t="n"/>
      <c r="E394" s="29" t="n"/>
      <c r="F394" s="29" t="n"/>
      <c r="G394" s="29" t="n"/>
      <c r="H394" s="29" t="n"/>
    </row>
    <row r="395">
      <c r="A395" s="31" t="n"/>
      <c r="B395" s="29" t="n"/>
      <c r="C395" s="32" t="n"/>
      <c r="D395" s="33" t="n"/>
      <c r="E395" s="29" t="n"/>
      <c r="F395" s="29" t="n"/>
      <c r="G395" s="29" t="n"/>
      <c r="H395" s="29" t="n"/>
    </row>
    <row r="396">
      <c r="A396" s="31" t="n"/>
      <c r="B396" s="29" t="n"/>
      <c r="C396" s="32" t="n"/>
      <c r="D396" s="33" t="n"/>
      <c r="E396" s="29" t="n"/>
      <c r="F396" s="29" t="n"/>
      <c r="G396" s="29" t="n"/>
      <c r="H396" s="29" t="n"/>
    </row>
    <row r="397">
      <c r="A397" s="31" t="n"/>
      <c r="B397" s="29" t="n"/>
      <c r="C397" s="32" t="n"/>
      <c r="D397" s="33" t="n"/>
      <c r="E397" s="29" t="n"/>
      <c r="F397" s="29" t="n"/>
      <c r="G397" s="29" t="n"/>
      <c r="H397" s="29" t="n"/>
    </row>
    <row r="398">
      <c r="A398" s="31" t="n"/>
      <c r="B398" s="29" t="n"/>
      <c r="C398" s="32" t="n"/>
      <c r="D398" s="33" t="n"/>
      <c r="E398" s="29" t="n"/>
      <c r="F398" s="29" t="n"/>
      <c r="G398" s="29" t="n"/>
      <c r="H398" s="29" t="n"/>
    </row>
    <row r="399">
      <c r="A399" s="31" t="n"/>
      <c r="B399" s="29" t="n"/>
      <c r="C399" s="32" t="n"/>
      <c r="D399" s="33" t="n"/>
      <c r="E399" s="29" t="n"/>
      <c r="F399" s="29" t="n"/>
      <c r="G399" s="29" t="n"/>
      <c r="H399" s="29" t="n"/>
    </row>
    <row r="400">
      <c r="A400" s="31" t="n"/>
      <c r="B400" s="29" t="n"/>
      <c r="C400" s="32" t="n"/>
      <c r="D400" s="33" t="n"/>
      <c r="E400" s="29" t="n"/>
      <c r="F400" s="29" t="n"/>
      <c r="G400" s="29" t="n"/>
      <c r="H400" s="29" t="n"/>
    </row>
    <row r="401">
      <c r="A401" s="31" t="n"/>
      <c r="B401" s="29" t="n"/>
      <c r="C401" s="32" t="n"/>
      <c r="D401" s="33" t="n"/>
      <c r="E401" s="29" t="n"/>
      <c r="F401" s="29" t="n"/>
      <c r="G401" s="29" t="n"/>
      <c r="H401" s="29" t="n"/>
    </row>
    <row r="402">
      <c r="A402" s="31" t="n"/>
      <c r="B402" s="29" t="n"/>
      <c r="C402" s="32" t="n"/>
      <c r="D402" s="33" t="n"/>
      <c r="E402" s="29" t="n"/>
      <c r="F402" s="29" t="n"/>
      <c r="G402" s="29" t="n"/>
      <c r="H402" s="29" t="n"/>
    </row>
    <row r="403">
      <c r="A403" s="31" t="n"/>
      <c r="B403" s="29" t="n"/>
      <c r="C403" s="32" t="n"/>
      <c r="D403" s="33" t="n"/>
      <c r="E403" s="29" t="n"/>
      <c r="F403" s="29" t="n"/>
      <c r="G403" s="29" t="n"/>
      <c r="H403" s="29" t="n"/>
    </row>
    <row r="404">
      <c r="A404" s="31" t="n"/>
      <c r="B404" s="29" t="n"/>
      <c r="C404" s="32" t="n"/>
      <c r="D404" s="33" t="n"/>
      <c r="E404" s="29" t="n"/>
      <c r="F404" s="29" t="n"/>
      <c r="G404" s="29" t="n"/>
      <c r="H404" s="29" t="n"/>
    </row>
  </sheetData>
  <mergeCells count="2">
    <mergeCell ref="A2:H2"/>
    <mergeCell ref="A1:H1"/>
  </mergeCells>
  <conditionalFormatting sqref="C5:C404">
    <cfRule type="cellIs" priority="1" operator="greaterThan" dxfId="2">
      <formula>1</formula>
    </cfRule>
    <cfRule type="cellIs" priority="2" operator="between" dxfId="3">
      <formula>0</formula>
      <formula>1</formula>
    </cfRule>
  </conditionalFormatting>
  <dataValidations count="1">
    <dataValidation sqref="F5:F404" showDropDown="0" showInputMessage="0" showErrorMessage="0" allowBlank="1" error="Valeur non autorisée." prompt="Choisis une valeur dans la liste." type="list">
      <formula1>=Parametres!$A$5:$A$9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0" customWidth="1" min="4" max="4"/>
    <col width="14" customWidth="1" min="5" max="5"/>
    <col width="22" customWidth="1" min="6" max="6"/>
    <col width="14" customWidth="1" min="7" max="7"/>
    <col width="18" customWidth="1" min="8" max="8"/>
    <col width="28" customWidth="1" min="9" max="9"/>
  </cols>
  <sheetData>
    <row r="1">
      <c r="A1" s="1" t="inlineStr">
        <is>
          <t>Suivi des matériaux</t>
        </is>
      </c>
    </row>
    <row r="2">
      <c r="A2" s="2" t="inlineStr">
        <is>
          <t>Saisir chaque livraison, sortie importante ou contrôle de stock.</t>
        </is>
      </c>
    </row>
    <row r="4" ht="22" customHeight="1">
      <c r="A4" s="28" t="inlineStr">
        <is>
          <t>Date</t>
        </is>
      </c>
      <c r="B4" s="28" t="inlineStr">
        <is>
          <t>Type matériau</t>
        </is>
      </c>
      <c r="C4" s="28" t="inlineStr">
        <is>
          <t>Quantité</t>
        </is>
      </c>
      <c r="D4" s="28" t="inlineStr">
        <is>
          <t>Unité</t>
        </is>
      </c>
      <c r="E4" s="28" t="inlineStr">
        <is>
          <t>Mouvement</t>
        </is>
      </c>
      <c r="F4" s="28" t="inlineStr">
        <is>
          <t>Fournisseur</t>
        </is>
      </c>
      <c r="G4" s="28" t="inlineStr">
        <is>
          <t>Réception OK</t>
        </is>
      </c>
      <c r="H4" s="28" t="inlineStr">
        <is>
          <t>Valeur estimée (FCFA)</t>
        </is>
      </c>
      <c r="I4" s="28" t="inlineStr">
        <is>
          <t>Observation</t>
        </is>
      </c>
    </row>
    <row r="5">
      <c r="A5" s="31" t="n">
        <v>46057</v>
      </c>
      <c r="B5" s="29" t="inlineStr">
        <is>
          <t>Ciment</t>
        </is>
      </c>
      <c r="C5" s="29" t="n">
        <v>200</v>
      </c>
      <c r="D5" s="29" t="inlineStr">
        <is>
          <t>sacs</t>
        </is>
      </c>
      <c r="E5" s="29" t="inlineStr">
        <is>
          <t>Entrée</t>
        </is>
      </c>
      <c r="F5" s="29" t="inlineStr">
        <is>
          <t>CIMIVOIRE</t>
        </is>
      </c>
      <c r="G5" s="29" t="inlineStr">
        <is>
          <t>Oui</t>
        </is>
      </c>
      <c r="H5" s="42" t="n">
        <v>1900000</v>
      </c>
      <c r="I5" s="29" t="inlineStr">
        <is>
          <t>Première livraison</t>
        </is>
      </c>
    </row>
    <row r="6">
      <c r="A6" s="31" t="n">
        <v>46059</v>
      </c>
      <c r="B6" s="29" t="inlineStr">
        <is>
          <t>Sable</t>
        </is>
      </c>
      <c r="C6" s="29" t="n">
        <v>18</v>
      </c>
      <c r="D6" s="29" t="inlineStr">
        <is>
          <t>m3</t>
        </is>
      </c>
      <c r="E6" s="29" t="inlineStr">
        <is>
          <t>Entrée</t>
        </is>
      </c>
      <c r="F6" s="29" t="inlineStr">
        <is>
          <t>Carrière Bingerville</t>
        </is>
      </c>
      <c r="G6" s="29" t="inlineStr">
        <is>
          <t>Oui</t>
        </is>
      </c>
      <c r="H6" s="42" t="n">
        <v>450000</v>
      </c>
      <c r="I6" s="29" t="inlineStr">
        <is>
          <t>Pour fouilles et béton</t>
        </is>
      </c>
    </row>
    <row r="7">
      <c r="A7" s="31" t="n">
        <v>46060</v>
      </c>
      <c r="B7" s="29" t="inlineStr">
        <is>
          <t>Gravier</t>
        </is>
      </c>
      <c r="C7" s="29" t="n">
        <v>16</v>
      </c>
      <c r="D7" s="29" t="inlineStr">
        <is>
          <t>m3</t>
        </is>
      </c>
      <c r="E7" s="29" t="inlineStr">
        <is>
          <t>Entrée</t>
        </is>
      </c>
      <c r="F7" s="29" t="inlineStr">
        <is>
          <t>Carrière Anyama</t>
        </is>
      </c>
      <c r="G7" s="29" t="inlineStr">
        <is>
          <t>Oui</t>
        </is>
      </c>
      <c r="H7" s="42" t="n">
        <v>520000</v>
      </c>
      <c r="I7" s="29" t="inlineStr">
        <is>
          <t>Granulats 5/15</t>
        </is>
      </c>
    </row>
    <row r="8">
      <c r="A8" s="31" t="n">
        <v>46063</v>
      </c>
      <c r="B8" s="29" t="inlineStr">
        <is>
          <t>Fer</t>
        </is>
      </c>
      <c r="C8" s="29" t="n">
        <v>3.5</v>
      </c>
      <c r="D8" s="29" t="inlineStr">
        <is>
          <t>tonnes</t>
        </is>
      </c>
      <c r="E8" s="29" t="inlineStr">
        <is>
          <t>Entrée</t>
        </is>
      </c>
      <c r="F8" s="29" t="inlineStr">
        <is>
          <t>SOTACI</t>
        </is>
      </c>
      <c r="G8" s="29" t="inlineStr">
        <is>
          <t>Oui</t>
        </is>
      </c>
      <c r="H8" s="42" t="n">
        <v>3150000</v>
      </c>
      <c r="I8" s="29" t="inlineStr">
        <is>
          <t>HA8, HA10, HA12</t>
        </is>
      </c>
    </row>
    <row r="9">
      <c r="A9" s="31" t="n">
        <v>46071</v>
      </c>
      <c r="B9" s="29" t="inlineStr">
        <is>
          <t>Bois</t>
        </is>
      </c>
      <c r="C9" s="29" t="n">
        <v>1.2</v>
      </c>
      <c r="D9" s="29" t="inlineStr">
        <is>
          <t>lot</t>
        </is>
      </c>
      <c r="E9" s="29" t="inlineStr">
        <is>
          <t>Entrée</t>
        </is>
      </c>
      <c r="F9" s="29" t="inlineStr">
        <is>
          <t>Bois Service</t>
        </is>
      </c>
      <c r="G9" s="29" t="inlineStr">
        <is>
          <t>Oui</t>
        </is>
      </c>
      <c r="H9" s="42" t="n">
        <v>780000</v>
      </c>
      <c r="I9" s="29" t="inlineStr">
        <is>
          <t>Coffrage</t>
        </is>
      </c>
    </row>
    <row r="10">
      <c r="A10" s="31" t="n">
        <v>46075</v>
      </c>
      <c r="B10" s="29" t="inlineStr">
        <is>
          <t>Ciment</t>
        </is>
      </c>
      <c r="C10" s="29" t="n">
        <v>120</v>
      </c>
      <c r="D10" s="29" t="inlineStr">
        <is>
          <t>sacs</t>
        </is>
      </c>
      <c r="E10" s="29" t="inlineStr">
        <is>
          <t>Sortie</t>
        </is>
      </c>
      <c r="F10" s="29" t="inlineStr">
        <is>
          <t>Consommation chantier</t>
        </is>
      </c>
      <c r="G10" s="29" t="inlineStr">
        <is>
          <t>Oui</t>
        </is>
      </c>
      <c r="H10" s="42" t="n">
        <v>1140000</v>
      </c>
      <c r="I10" s="29" t="inlineStr">
        <is>
          <t>Semelles + longrines</t>
        </is>
      </c>
    </row>
    <row r="11">
      <c r="A11" s="31" t="n">
        <v>46082</v>
      </c>
      <c r="B11" s="29" t="inlineStr">
        <is>
          <t>Briques</t>
        </is>
      </c>
      <c r="C11" s="29" t="n">
        <v>4500</v>
      </c>
      <c r="D11" s="29" t="inlineStr">
        <is>
          <t>unités</t>
        </is>
      </c>
      <c r="E11" s="29" t="inlineStr">
        <is>
          <t>Entrée</t>
        </is>
      </c>
      <c r="F11" s="29" t="inlineStr">
        <is>
          <t>Briqueterie Akoupé</t>
        </is>
      </c>
      <c r="G11" s="29" t="inlineStr">
        <is>
          <t>Oui</t>
        </is>
      </c>
      <c r="H11" s="42" t="n">
        <v>1350000</v>
      </c>
      <c r="I11" s="29" t="inlineStr">
        <is>
          <t>Élévation RDC</t>
        </is>
      </c>
    </row>
    <row r="12">
      <c r="A12" s="31" t="n">
        <v>46089</v>
      </c>
      <c r="B12" s="29" t="inlineStr">
        <is>
          <t>Fer</t>
        </is>
      </c>
      <c r="C12" s="29" t="n">
        <v>0.8</v>
      </c>
      <c r="D12" s="29" t="inlineStr">
        <is>
          <t>tonnes</t>
        </is>
      </c>
      <c r="E12" s="29" t="inlineStr">
        <is>
          <t>Sortie</t>
        </is>
      </c>
      <c r="F12" s="29" t="inlineStr">
        <is>
          <t>Consommation chantier</t>
        </is>
      </c>
      <c r="G12" s="29" t="inlineStr">
        <is>
          <t>Oui</t>
        </is>
      </c>
      <c r="H12" s="42" t="n">
        <v>720000</v>
      </c>
      <c r="I12" s="29" t="inlineStr">
        <is>
          <t>Poteaux/poutres RDC</t>
        </is>
      </c>
    </row>
    <row r="13">
      <c r="A13" s="31" t="n"/>
      <c r="B13" s="29" t="n"/>
      <c r="C13" s="29" t="n"/>
      <c r="D13" s="29" t="n"/>
      <c r="E13" s="29" t="n"/>
      <c r="F13" s="29" t="n"/>
      <c r="G13" s="29" t="n"/>
      <c r="H13" s="34" t="n"/>
      <c r="I13" s="29" t="n"/>
    </row>
    <row r="14">
      <c r="A14" s="31" t="n"/>
      <c r="B14" s="29" t="n"/>
      <c r="C14" s="29" t="n"/>
      <c r="D14" s="29" t="n"/>
      <c r="E14" s="29" t="n"/>
      <c r="F14" s="29" t="n"/>
      <c r="G14" s="29" t="n"/>
      <c r="H14" s="34" t="n"/>
      <c r="I14" s="29" t="n"/>
    </row>
    <row r="15">
      <c r="A15" s="31" t="n"/>
      <c r="B15" s="29" t="n"/>
      <c r="C15" s="29" t="n"/>
      <c r="D15" s="29" t="n"/>
      <c r="E15" s="29" t="n"/>
      <c r="F15" s="29" t="n"/>
      <c r="G15" s="29" t="n"/>
      <c r="H15" s="34" t="n"/>
      <c r="I15" s="29" t="n"/>
    </row>
    <row r="16">
      <c r="A16" s="31" t="n"/>
      <c r="B16" s="29" t="n"/>
      <c r="C16" s="29" t="n"/>
      <c r="D16" s="29" t="n"/>
      <c r="E16" s="29" t="n"/>
      <c r="F16" s="29" t="n"/>
      <c r="G16" s="29" t="n"/>
      <c r="H16" s="34" t="n"/>
      <c r="I16" s="29" t="n"/>
    </row>
    <row r="17">
      <c r="A17" s="31" t="n"/>
      <c r="B17" s="29" t="n"/>
      <c r="C17" s="29" t="n"/>
      <c r="D17" s="29" t="n"/>
      <c r="E17" s="29" t="n"/>
      <c r="F17" s="29" t="n"/>
      <c r="G17" s="29" t="n"/>
      <c r="H17" s="34" t="n"/>
      <c r="I17" s="29" t="n"/>
    </row>
    <row r="18">
      <c r="A18" s="31" t="n"/>
      <c r="B18" s="29" t="n"/>
      <c r="C18" s="29" t="n"/>
      <c r="D18" s="29" t="n"/>
      <c r="E18" s="29" t="n"/>
      <c r="F18" s="29" t="n"/>
      <c r="G18" s="29" t="n"/>
      <c r="H18" s="34" t="n"/>
      <c r="I18" s="29" t="n"/>
    </row>
    <row r="19">
      <c r="A19" s="31" t="n"/>
      <c r="B19" s="29" t="n"/>
      <c r="C19" s="29" t="n"/>
      <c r="D19" s="29" t="n"/>
      <c r="E19" s="29" t="n"/>
      <c r="F19" s="29" t="n"/>
      <c r="G19" s="29" t="n"/>
      <c r="H19" s="34" t="n"/>
      <c r="I19" s="29" t="n"/>
    </row>
    <row r="20">
      <c r="A20" s="31" t="n"/>
      <c r="B20" s="29" t="n"/>
      <c r="C20" s="29" t="n"/>
      <c r="D20" s="29" t="n"/>
      <c r="E20" s="29" t="n"/>
      <c r="F20" s="29" t="n"/>
      <c r="G20" s="29" t="n"/>
      <c r="H20" s="34" t="n"/>
      <c r="I20" s="29" t="n"/>
    </row>
    <row r="21">
      <c r="A21" s="31" t="n"/>
      <c r="B21" s="29" t="n"/>
      <c r="C21" s="29" t="n"/>
      <c r="D21" s="29" t="n"/>
      <c r="E21" s="29" t="n"/>
      <c r="F21" s="29" t="n"/>
      <c r="G21" s="29" t="n"/>
      <c r="H21" s="34" t="n"/>
      <c r="I21" s="29" t="n"/>
    </row>
    <row r="22">
      <c r="A22" s="31" t="n"/>
      <c r="B22" s="29" t="n"/>
      <c r="C22" s="29" t="n"/>
      <c r="D22" s="29" t="n"/>
      <c r="E22" s="29" t="n"/>
      <c r="F22" s="29" t="n"/>
      <c r="G22" s="29" t="n"/>
      <c r="H22" s="34" t="n"/>
      <c r="I22" s="29" t="n"/>
    </row>
    <row r="23">
      <c r="A23" s="31" t="n"/>
      <c r="B23" s="29" t="n"/>
      <c r="C23" s="29" t="n"/>
      <c r="D23" s="29" t="n"/>
      <c r="E23" s="29" t="n"/>
      <c r="F23" s="29" t="n"/>
      <c r="G23" s="29" t="n"/>
      <c r="H23" s="34" t="n"/>
      <c r="I23" s="29" t="n"/>
    </row>
    <row r="24">
      <c r="A24" s="31" t="n"/>
      <c r="B24" s="29" t="n"/>
      <c r="C24" s="29" t="n"/>
      <c r="D24" s="29" t="n"/>
      <c r="E24" s="29" t="n"/>
      <c r="F24" s="29" t="n"/>
      <c r="G24" s="29" t="n"/>
      <c r="H24" s="34" t="n"/>
      <c r="I24" s="29" t="n"/>
    </row>
    <row r="25">
      <c r="A25" s="31" t="n"/>
      <c r="B25" s="29" t="n"/>
      <c r="C25" s="29" t="n"/>
      <c r="D25" s="29" t="n"/>
      <c r="E25" s="29" t="n"/>
      <c r="F25" s="29" t="n"/>
      <c r="G25" s="29" t="n"/>
      <c r="H25" s="34" t="n"/>
      <c r="I25" s="29" t="n"/>
    </row>
    <row r="26">
      <c r="A26" s="31" t="n"/>
      <c r="B26" s="29" t="n"/>
      <c r="C26" s="29" t="n"/>
      <c r="D26" s="29" t="n"/>
      <c r="E26" s="29" t="n"/>
      <c r="F26" s="29" t="n"/>
      <c r="G26" s="29" t="n"/>
      <c r="H26" s="34" t="n"/>
      <c r="I26" s="29" t="n"/>
    </row>
    <row r="27">
      <c r="A27" s="31" t="n"/>
      <c r="B27" s="29" t="n"/>
      <c r="C27" s="29" t="n"/>
      <c r="D27" s="29" t="n"/>
      <c r="E27" s="29" t="n"/>
      <c r="F27" s="29" t="n"/>
      <c r="G27" s="29" t="n"/>
      <c r="H27" s="34" t="n"/>
      <c r="I27" s="29" t="n"/>
    </row>
    <row r="28">
      <c r="A28" s="31" t="n"/>
      <c r="B28" s="29" t="n"/>
      <c r="C28" s="29" t="n"/>
      <c r="D28" s="29" t="n"/>
      <c r="E28" s="29" t="n"/>
      <c r="F28" s="29" t="n"/>
      <c r="G28" s="29" t="n"/>
      <c r="H28" s="34" t="n"/>
      <c r="I28" s="29" t="n"/>
    </row>
    <row r="29">
      <c r="A29" s="31" t="n"/>
      <c r="B29" s="29" t="n"/>
      <c r="C29" s="29" t="n"/>
      <c r="D29" s="29" t="n"/>
      <c r="E29" s="29" t="n"/>
      <c r="F29" s="29" t="n"/>
      <c r="G29" s="29" t="n"/>
      <c r="H29" s="34" t="n"/>
      <c r="I29" s="29" t="n"/>
    </row>
    <row r="30">
      <c r="A30" s="31" t="n"/>
      <c r="B30" s="29" t="n"/>
      <c r="C30" s="29" t="n"/>
      <c r="D30" s="29" t="n"/>
      <c r="E30" s="29" t="n"/>
      <c r="F30" s="29" t="n"/>
      <c r="G30" s="29" t="n"/>
      <c r="H30" s="34" t="n"/>
      <c r="I30" s="29" t="n"/>
    </row>
    <row r="31">
      <c r="A31" s="31" t="n"/>
      <c r="B31" s="29" t="n"/>
      <c r="C31" s="29" t="n"/>
      <c r="D31" s="29" t="n"/>
      <c r="E31" s="29" t="n"/>
      <c r="F31" s="29" t="n"/>
      <c r="G31" s="29" t="n"/>
      <c r="H31" s="34" t="n"/>
      <c r="I31" s="29" t="n"/>
    </row>
    <row r="32">
      <c r="A32" s="31" t="n"/>
      <c r="B32" s="29" t="n"/>
      <c r="C32" s="29" t="n"/>
      <c r="D32" s="29" t="n"/>
      <c r="E32" s="29" t="n"/>
      <c r="F32" s="29" t="n"/>
      <c r="G32" s="29" t="n"/>
      <c r="H32" s="34" t="n"/>
      <c r="I32" s="29" t="n"/>
    </row>
    <row r="33">
      <c r="A33" s="31" t="n"/>
      <c r="B33" s="29" t="n"/>
      <c r="C33" s="29" t="n"/>
      <c r="D33" s="29" t="n"/>
      <c r="E33" s="29" t="n"/>
      <c r="F33" s="29" t="n"/>
      <c r="G33" s="29" t="n"/>
      <c r="H33" s="34" t="n"/>
      <c r="I33" s="29" t="n"/>
    </row>
    <row r="34">
      <c r="A34" s="31" t="n"/>
      <c r="B34" s="29" t="n"/>
      <c r="C34" s="29" t="n"/>
      <c r="D34" s="29" t="n"/>
      <c r="E34" s="29" t="n"/>
      <c r="F34" s="29" t="n"/>
      <c r="G34" s="29" t="n"/>
      <c r="H34" s="34" t="n"/>
      <c r="I34" s="29" t="n"/>
    </row>
    <row r="35">
      <c r="A35" s="31" t="n"/>
      <c r="B35" s="29" t="n"/>
      <c r="C35" s="29" t="n"/>
      <c r="D35" s="29" t="n"/>
      <c r="E35" s="29" t="n"/>
      <c r="F35" s="29" t="n"/>
      <c r="G35" s="29" t="n"/>
      <c r="H35" s="34" t="n"/>
      <c r="I35" s="29" t="n"/>
    </row>
    <row r="36">
      <c r="A36" s="31" t="n"/>
      <c r="B36" s="29" t="n"/>
      <c r="C36" s="29" t="n"/>
      <c r="D36" s="29" t="n"/>
      <c r="E36" s="29" t="n"/>
      <c r="F36" s="29" t="n"/>
      <c r="G36" s="29" t="n"/>
      <c r="H36" s="34" t="n"/>
      <c r="I36" s="29" t="n"/>
    </row>
    <row r="37">
      <c r="A37" s="31" t="n"/>
      <c r="B37" s="29" t="n"/>
      <c r="C37" s="29" t="n"/>
      <c r="D37" s="29" t="n"/>
      <c r="E37" s="29" t="n"/>
      <c r="F37" s="29" t="n"/>
      <c r="G37" s="29" t="n"/>
      <c r="H37" s="34" t="n"/>
      <c r="I37" s="29" t="n"/>
    </row>
    <row r="38">
      <c r="A38" s="31" t="n"/>
      <c r="B38" s="29" t="n"/>
      <c r="C38" s="29" t="n"/>
      <c r="D38" s="29" t="n"/>
      <c r="E38" s="29" t="n"/>
      <c r="F38" s="29" t="n"/>
      <c r="G38" s="29" t="n"/>
      <c r="H38" s="34" t="n"/>
      <c r="I38" s="29" t="n"/>
    </row>
    <row r="39">
      <c r="A39" s="31" t="n"/>
      <c r="B39" s="29" t="n"/>
      <c r="C39" s="29" t="n"/>
      <c r="D39" s="29" t="n"/>
      <c r="E39" s="29" t="n"/>
      <c r="F39" s="29" t="n"/>
      <c r="G39" s="29" t="n"/>
      <c r="H39" s="34" t="n"/>
      <c r="I39" s="29" t="n"/>
    </row>
    <row r="40">
      <c r="A40" s="31" t="n"/>
      <c r="B40" s="29" t="n"/>
      <c r="C40" s="29" t="n"/>
      <c r="D40" s="29" t="n"/>
      <c r="E40" s="29" t="n"/>
      <c r="F40" s="29" t="n"/>
      <c r="G40" s="29" t="n"/>
      <c r="H40" s="34" t="n"/>
      <c r="I40" s="29" t="n"/>
    </row>
    <row r="41">
      <c r="A41" s="31" t="n"/>
      <c r="B41" s="29" t="n"/>
      <c r="C41" s="29" t="n"/>
      <c r="D41" s="29" t="n"/>
      <c r="E41" s="29" t="n"/>
      <c r="F41" s="29" t="n"/>
      <c r="G41" s="29" t="n"/>
      <c r="H41" s="34" t="n"/>
      <c r="I41" s="29" t="n"/>
    </row>
    <row r="42">
      <c r="A42" s="31" t="n"/>
      <c r="B42" s="29" t="n"/>
      <c r="C42" s="29" t="n"/>
      <c r="D42" s="29" t="n"/>
      <c r="E42" s="29" t="n"/>
      <c r="F42" s="29" t="n"/>
      <c r="G42" s="29" t="n"/>
      <c r="H42" s="34" t="n"/>
      <c r="I42" s="29" t="n"/>
    </row>
    <row r="43">
      <c r="A43" s="31" t="n"/>
      <c r="B43" s="29" t="n"/>
      <c r="C43" s="29" t="n"/>
      <c r="D43" s="29" t="n"/>
      <c r="E43" s="29" t="n"/>
      <c r="F43" s="29" t="n"/>
      <c r="G43" s="29" t="n"/>
      <c r="H43" s="34" t="n"/>
      <c r="I43" s="29" t="n"/>
    </row>
    <row r="44">
      <c r="A44" s="31" t="n"/>
      <c r="B44" s="29" t="n"/>
      <c r="C44" s="29" t="n"/>
      <c r="D44" s="29" t="n"/>
      <c r="E44" s="29" t="n"/>
      <c r="F44" s="29" t="n"/>
      <c r="G44" s="29" t="n"/>
      <c r="H44" s="34" t="n"/>
      <c r="I44" s="29" t="n"/>
    </row>
    <row r="45">
      <c r="A45" s="31" t="n"/>
      <c r="B45" s="29" t="n"/>
      <c r="C45" s="29" t="n"/>
      <c r="D45" s="29" t="n"/>
      <c r="E45" s="29" t="n"/>
      <c r="F45" s="29" t="n"/>
      <c r="G45" s="29" t="n"/>
      <c r="H45" s="34" t="n"/>
      <c r="I45" s="29" t="n"/>
    </row>
    <row r="46">
      <c r="A46" s="31" t="n"/>
      <c r="B46" s="29" t="n"/>
      <c r="C46" s="29" t="n"/>
      <c r="D46" s="29" t="n"/>
      <c r="E46" s="29" t="n"/>
      <c r="F46" s="29" t="n"/>
      <c r="G46" s="29" t="n"/>
      <c r="H46" s="34" t="n"/>
      <c r="I46" s="29" t="n"/>
    </row>
    <row r="47">
      <c r="A47" s="31" t="n"/>
      <c r="B47" s="29" t="n"/>
      <c r="C47" s="29" t="n"/>
      <c r="D47" s="29" t="n"/>
      <c r="E47" s="29" t="n"/>
      <c r="F47" s="29" t="n"/>
      <c r="G47" s="29" t="n"/>
      <c r="H47" s="34" t="n"/>
      <c r="I47" s="29" t="n"/>
    </row>
    <row r="48">
      <c r="A48" s="31" t="n"/>
      <c r="B48" s="29" t="n"/>
      <c r="C48" s="29" t="n"/>
      <c r="D48" s="29" t="n"/>
      <c r="E48" s="29" t="n"/>
      <c r="F48" s="29" t="n"/>
      <c r="G48" s="29" t="n"/>
      <c r="H48" s="34" t="n"/>
      <c r="I48" s="29" t="n"/>
    </row>
    <row r="49">
      <c r="A49" s="31" t="n"/>
      <c r="B49" s="29" t="n"/>
      <c r="C49" s="29" t="n"/>
      <c r="D49" s="29" t="n"/>
      <c r="E49" s="29" t="n"/>
      <c r="F49" s="29" t="n"/>
      <c r="G49" s="29" t="n"/>
      <c r="H49" s="34" t="n"/>
      <c r="I49" s="29" t="n"/>
    </row>
    <row r="50">
      <c r="A50" s="31" t="n"/>
      <c r="B50" s="29" t="n"/>
      <c r="C50" s="29" t="n"/>
      <c r="D50" s="29" t="n"/>
      <c r="E50" s="29" t="n"/>
      <c r="F50" s="29" t="n"/>
      <c r="G50" s="29" t="n"/>
      <c r="H50" s="34" t="n"/>
      <c r="I50" s="29" t="n"/>
    </row>
    <row r="51">
      <c r="A51" s="31" t="n"/>
      <c r="B51" s="29" t="n"/>
      <c r="C51" s="29" t="n"/>
      <c r="D51" s="29" t="n"/>
      <c r="E51" s="29" t="n"/>
      <c r="F51" s="29" t="n"/>
      <c r="G51" s="29" t="n"/>
      <c r="H51" s="34" t="n"/>
      <c r="I51" s="29" t="n"/>
    </row>
    <row r="52">
      <c r="A52" s="31" t="n"/>
      <c r="B52" s="29" t="n"/>
      <c r="C52" s="29" t="n"/>
      <c r="D52" s="29" t="n"/>
      <c r="E52" s="29" t="n"/>
      <c r="F52" s="29" t="n"/>
      <c r="G52" s="29" t="n"/>
      <c r="H52" s="34" t="n"/>
      <c r="I52" s="29" t="n"/>
    </row>
    <row r="53">
      <c r="A53" s="31" t="n"/>
      <c r="B53" s="29" t="n"/>
      <c r="C53" s="29" t="n"/>
      <c r="D53" s="29" t="n"/>
      <c r="E53" s="29" t="n"/>
      <c r="F53" s="29" t="n"/>
      <c r="G53" s="29" t="n"/>
      <c r="H53" s="34" t="n"/>
      <c r="I53" s="29" t="n"/>
    </row>
    <row r="54">
      <c r="A54" s="31" t="n"/>
      <c r="B54" s="29" t="n"/>
      <c r="C54" s="29" t="n"/>
      <c r="D54" s="29" t="n"/>
      <c r="E54" s="29" t="n"/>
      <c r="F54" s="29" t="n"/>
      <c r="G54" s="29" t="n"/>
      <c r="H54" s="34" t="n"/>
      <c r="I54" s="29" t="n"/>
    </row>
    <row r="55">
      <c r="A55" s="31" t="n"/>
      <c r="B55" s="29" t="n"/>
      <c r="C55" s="29" t="n"/>
      <c r="D55" s="29" t="n"/>
      <c r="E55" s="29" t="n"/>
      <c r="F55" s="29" t="n"/>
      <c r="G55" s="29" t="n"/>
      <c r="H55" s="34" t="n"/>
      <c r="I55" s="29" t="n"/>
    </row>
    <row r="56">
      <c r="A56" s="31" t="n"/>
      <c r="B56" s="29" t="n"/>
      <c r="C56" s="29" t="n"/>
      <c r="D56" s="29" t="n"/>
      <c r="E56" s="29" t="n"/>
      <c r="F56" s="29" t="n"/>
      <c r="G56" s="29" t="n"/>
      <c r="H56" s="34" t="n"/>
      <c r="I56" s="29" t="n"/>
    </row>
    <row r="57">
      <c r="A57" s="31" t="n"/>
      <c r="B57" s="29" t="n"/>
      <c r="C57" s="29" t="n"/>
      <c r="D57" s="29" t="n"/>
      <c r="E57" s="29" t="n"/>
      <c r="F57" s="29" t="n"/>
      <c r="G57" s="29" t="n"/>
      <c r="H57" s="34" t="n"/>
      <c r="I57" s="29" t="n"/>
    </row>
    <row r="58">
      <c r="A58" s="31" t="n"/>
      <c r="B58" s="29" t="n"/>
      <c r="C58" s="29" t="n"/>
      <c r="D58" s="29" t="n"/>
      <c r="E58" s="29" t="n"/>
      <c r="F58" s="29" t="n"/>
      <c r="G58" s="29" t="n"/>
      <c r="H58" s="34" t="n"/>
      <c r="I58" s="29" t="n"/>
    </row>
    <row r="59">
      <c r="A59" s="31" t="n"/>
      <c r="B59" s="29" t="n"/>
      <c r="C59" s="29" t="n"/>
      <c r="D59" s="29" t="n"/>
      <c r="E59" s="29" t="n"/>
      <c r="F59" s="29" t="n"/>
      <c r="G59" s="29" t="n"/>
      <c r="H59" s="34" t="n"/>
      <c r="I59" s="29" t="n"/>
    </row>
    <row r="60">
      <c r="A60" s="31" t="n"/>
      <c r="B60" s="29" t="n"/>
      <c r="C60" s="29" t="n"/>
      <c r="D60" s="29" t="n"/>
      <c r="E60" s="29" t="n"/>
      <c r="F60" s="29" t="n"/>
      <c r="G60" s="29" t="n"/>
      <c r="H60" s="34" t="n"/>
      <c r="I60" s="29" t="n"/>
    </row>
    <row r="61">
      <c r="A61" s="31" t="n"/>
      <c r="B61" s="29" t="n"/>
      <c r="C61" s="29" t="n"/>
      <c r="D61" s="29" t="n"/>
      <c r="E61" s="29" t="n"/>
      <c r="F61" s="29" t="n"/>
      <c r="G61" s="29" t="n"/>
      <c r="H61" s="34" t="n"/>
      <c r="I61" s="29" t="n"/>
    </row>
    <row r="62">
      <c r="A62" s="31" t="n"/>
      <c r="B62" s="29" t="n"/>
      <c r="C62" s="29" t="n"/>
      <c r="D62" s="29" t="n"/>
      <c r="E62" s="29" t="n"/>
      <c r="F62" s="29" t="n"/>
      <c r="G62" s="29" t="n"/>
      <c r="H62" s="34" t="n"/>
      <c r="I62" s="29" t="n"/>
    </row>
    <row r="63">
      <c r="A63" s="31" t="n"/>
      <c r="B63" s="29" t="n"/>
      <c r="C63" s="29" t="n"/>
      <c r="D63" s="29" t="n"/>
      <c r="E63" s="29" t="n"/>
      <c r="F63" s="29" t="n"/>
      <c r="G63" s="29" t="n"/>
      <c r="H63" s="34" t="n"/>
      <c r="I63" s="29" t="n"/>
    </row>
    <row r="64">
      <c r="A64" s="31" t="n"/>
      <c r="B64" s="29" t="n"/>
      <c r="C64" s="29" t="n"/>
      <c r="D64" s="29" t="n"/>
      <c r="E64" s="29" t="n"/>
      <c r="F64" s="29" t="n"/>
      <c r="G64" s="29" t="n"/>
      <c r="H64" s="34" t="n"/>
      <c r="I64" s="29" t="n"/>
    </row>
    <row r="65">
      <c r="A65" s="31" t="n"/>
      <c r="B65" s="29" t="n"/>
      <c r="C65" s="29" t="n"/>
      <c r="D65" s="29" t="n"/>
      <c r="E65" s="29" t="n"/>
      <c r="F65" s="29" t="n"/>
      <c r="G65" s="29" t="n"/>
      <c r="H65" s="34" t="n"/>
      <c r="I65" s="29" t="n"/>
    </row>
    <row r="66">
      <c r="A66" s="31" t="n"/>
      <c r="B66" s="29" t="n"/>
      <c r="C66" s="29" t="n"/>
      <c r="D66" s="29" t="n"/>
      <c r="E66" s="29" t="n"/>
      <c r="F66" s="29" t="n"/>
      <c r="G66" s="29" t="n"/>
      <c r="H66" s="34" t="n"/>
      <c r="I66" s="29" t="n"/>
    </row>
    <row r="67">
      <c r="A67" s="31" t="n"/>
      <c r="B67" s="29" t="n"/>
      <c r="C67" s="29" t="n"/>
      <c r="D67" s="29" t="n"/>
      <c r="E67" s="29" t="n"/>
      <c r="F67" s="29" t="n"/>
      <c r="G67" s="29" t="n"/>
      <c r="H67" s="34" t="n"/>
      <c r="I67" s="29" t="n"/>
    </row>
    <row r="68">
      <c r="A68" s="31" t="n"/>
      <c r="B68" s="29" t="n"/>
      <c r="C68" s="29" t="n"/>
      <c r="D68" s="29" t="n"/>
      <c r="E68" s="29" t="n"/>
      <c r="F68" s="29" t="n"/>
      <c r="G68" s="29" t="n"/>
      <c r="H68" s="34" t="n"/>
      <c r="I68" s="29" t="n"/>
    </row>
    <row r="69">
      <c r="A69" s="31" t="n"/>
      <c r="B69" s="29" t="n"/>
      <c r="C69" s="29" t="n"/>
      <c r="D69" s="29" t="n"/>
      <c r="E69" s="29" t="n"/>
      <c r="F69" s="29" t="n"/>
      <c r="G69" s="29" t="n"/>
      <c r="H69" s="34" t="n"/>
      <c r="I69" s="29" t="n"/>
    </row>
    <row r="70">
      <c r="A70" s="31" t="n"/>
      <c r="B70" s="29" t="n"/>
      <c r="C70" s="29" t="n"/>
      <c r="D70" s="29" t="n"/>
      <c r="E70" s="29" t="n"/>
      <c r="F70" s="29" t="n"/>
      <c r="G70" s="29" t="n"/>
      <c r="H70" s="34" t="n"/>
      <c r="I70" s="29" t="n"/>
    </row>
    <row r="71">
      <c r="A71" s="31" t="n"/>
      <c r="B71" s="29" t="n"/>
      <c r="C71" s="29" t="n"/>
      <c r="D71" s="29" t="n"/>
      <c r="E71" s="29" t="n"/>
      <c r="F71" s="29" t="n"/>
      <c r="G71" s="29" t="n"/>
      <c r="H71" s="34" t="n"/>
      <c r="I71" s="29" t="n"/>
    </row>
    <row r="72">
      <c r="A72" s="31" t="n"/>
      <c r="B72" s="29" t="n"/>
      <c r="C72" s="29" t="n"/>
      <c r="D72" s="29" t="n"/>
      <c r="E72" s="29" t="n"/>
      <c r="F72" s="29" t="n"/>
      <c r="G72" s="29" t="n"/>
      <c r="H72" s="34" t="n"/>
      <c r="I72" s="29" t="n"/>
    </row>
    <row r="73">
      <c r="A73" s="31" t="n"/>
      <c r="B73" s="29" t="n"/>
      <c r="C73" s="29" t="n"/>
      <c r="D73" s="29" t="n"/>
      <c r="E73" s="29" t="n"/>
      <c r="F73" s="29" t="n"/>
      <c r="G73" s="29" t="n"/>
      <c r="H73" s="34" t="n"/>
      <c r="I73" s="29" t="n"/>
    </row>
    <row r="74">
      <c r="A74" s="31" t="n"/>
      <c r="B74" s="29" t="n"/>
      <c r="C74" s="29" t="n"/>
      <c r="D74" s="29" t="n"/>
      <c r="E74" s="29" t="n"/>
      <c r="F74" s="29" t="n"/>
      <c r="G74" s="29" t="n"/>
      <c r="H74" s="34" t="n"/>
      <c r="I74" s="29" t="n"/>
    </row>
    <row r="75">
      <c r="A75" s="31" t="n"/>
      <c r="B75" s="29" t="n"/>
      <c r="C75" s="29" t="n"/>
      <c r="D75" s="29" t="n"/>
      <c r="E75" s="29" t="n"/>
      <c r="F75" s="29" t="n"/>
      <c r="G75" s="29" t="n"/>
      <c r="H75" s="34" t="n"/>
      <c r="I75" s="29" t="n"/>
    </row>
    <row r="76">
      <c r="A76" s="31" t="n"/>
      <c r="B76" s="29" t="n"/>
      <c r="C76" s="29" t="n"/>
      <c r="D76" s="29" t="n"/>
      <c r="E76" s="29" t="n"/>
      <c r="F76" s="29" t="n"/>
      <c r="G76" s="29" t="n"/>
      <c r="H76" s="34" t="n"/>
      <c r="I76" s="29" t="n"/>
    </row>
    <row r="77">
      <c r="A77" s="31" t="n"/>
      <c r="B77" s="29" t="n"/>
      <c r="C77" s="29" t="n"/>
      <c r="D77" s="29" t="n"/>
      <c r="E77" s="29" t="n"/>
      <c r="F77" s="29" t="n"/>
      <c r="G77" s="29" t="n"/>
      <c r="H77" s="34" t="n"/>
      <c r="I77" s="29" t="n"/>
    </row>
    <row r="78">
      <c r="A78" s="31" t="n"/>
      <c r="B78" s="29" t="n"/>
      <c r="C78" s="29" t="n"/>
      <c r="D78" s="29" t="n"/>
      <c r="E78" s="29" t="n"/>
      <c r="F78" s="29" t="n"/>
      <c r="G78" s="29" t="n"/>
      <c r="H78" s="34" t="n"/>
      <c r="I78" s="29" t="n"/>
    </row>
    <row r="79">
      <c r="A79" s="31" t="n"/>
      <c r="B79" s="29" t="n"/>
      <c r="C79" s="29" t="n"/>
      <c r="D79" s="29" t="n"/>
      <c r="E79" s="29" t="n"/>
      <c r="F79" s="29" t="n"/>
      <c r="G79" s="29" t="n"/>
      <c r="H79" s="34" t="n"/>
      <c r="I79" s="29" t="n"/>
    </row>
    <row r="80">
      <c r="A80" s="31" t="n"/>
      <c r="B80" s="29" t="n"/>
      <c r="C80" s="29" t="n"/>
      <c r="D80" s="29" t="n"/>
      <c r="E80" s="29" t="n"/>
      <c r="F80" s="29" t="n"/>
      <c r="G80" s="29" t="n"/>
      <c r="H80" s="34" t="n"/>
      <c r="I80" s="29" t="n"/>
    </row>
    <row r="81">
      <c r="A81" s="31" t="n"/>
      <c r="B81" s="29" t="n"/>
      <c r="C81" s="29" t="n"/>
      <c r="D81" s="29" t="n"/>
      <c r="E81" s="29" t="n"/>
      <c r="F81" s="29" t="n"/>
      <c r="G81" s="29" t="n"/>
      <c r="H81" s="34" t="n"/>
      <c r="I81" s="29" t="n"/>
    </row>
    <row r="82">
      <c r="A82" s="31" t="n"/>
      <c r="B82" s="29" t="n"/>
      <c r="C82" s="29" t="n"/>
      <c r="D82" s="29" t="n"/>
      <c r="E82" s="29" t="n"/>
      <c r="F82" s="29" t="n"/>
      <c r="G82" s="29" t="n"/>
      <c r="H82" s="34" t="n"/>
      <c r="I82" s="29" t="n"/>
    </row>
    <row r="83">
      <c r="A83" s="31" t="n"/>
      <c r="B83" s="29" t="n"/>
      <c r="C83" s="29" t="n"/>
      <c r="D83" s="29" t="n"/>
      <c r="E83" s="29" t="n"/>
      <c r="F83" s="29" t="n"/>
      <c r="G83" s="29" t="n"/>
      <c r="H83" s="34" t="n"/>
      <c r="I83" s="29" t="n"/>
    </row>
    <row r="84">
      <c r="A84" s="31" t="n"/>
      <c r="B84" s="29" t="n"/>
      <c r="C84" s="29" t="n"/>
      <c r="D84" s="29" t="n"/>
      <c r="E84" s="29" t="n"/>
      <c r="F84" s="29" t="n"/>
      <c r="G84" s="29" t="n"/>
      <c r="H84" s="34" t="n"/>
      <c r="I84" s="29" t="n"/>
    </row>
    <row r="85">
      <c r="A85" s="31" t="n"/>
      <c r="B85" s="29" t="n"/>
      <c r="C85" s="29" t="n"/>
      <c r="D85" s="29" t="n"/>
      <c r="E85" s="29" t="n"/>
      <c r="F85" s="29" t="n"/>
      <c r="G85" s="29" t="n"/>
      <c r="H85" s="34" t="n"/>
      <c r="I85" s="29" t="n"/>
    </row>
    <row r="86">
      <c r="A86" s="31" t="n"/>
      <c r="B86" s="29" t="n"/>
      <c r="C86" s="29" t="n"/>
      <c r="D86" s="29" t="n"/>
      <c r="E86" s="29" t="n"/>
      <c r="F86" s="29" t="n"/>
      <c r="G86" s="29" t="n"/>
      <c r="H86" s="34" t="n"/>
      <c r="I86" s="29" t="n"/>
    </row>
    <row r="87">
      <c r="A87" s="31" t="n"/>
      <c r="B87" s="29" t="n"/>
      <c r="C87" s="29" t="n"/>
      <c r="D87" s="29" t="n"/>
      <c r="E87" s="29" t="n"/>
      <c r="F87" s="29" t="n"/>
      <c r="G87" s="29" t="n"/>
      <c r="H87" s="34" t="n"/>
      <c r="I87" s="29" t="n"/>
    </row>
    <row r="88">
      <c r="A88" s="31" t="n"/>
      <c r="B88" s="29" t="n"/>
      <c r="C88" s="29" t="n"/>
      <c r="D88" s="29" t="n"/>
      <c r="E88" s="29" t="n"/>
      <c r="F88" s="29" t="n"/>
      <c r="G88" s="29" t="n"/>
      <c r="H88" s="34" t="n"/>
      <c r="I88" s="29" t="n"/>
    </row>
    <row r="89">
      <c r="A89" s="31" t="n"/>
      <c r="B89" s="29" t="n"/>
      <c r="C89" s="29" t="n"/>
      <c r="D89" s="29" t="n"/>
      <c r="E89" s="29" t="n"/>
      <c r="F89" s="29" t="n"/>
      <c r="G89" s="29" t="n"/>
      <c r="H89" s="34" t="n"/>
      <c r="I89" s="29" t="n"/>
    </row>
    <row r="90">
      <c r="A90" s="31" t="n"/>
      <c r="B90" s="29" t="n"/>
      <c r="C90" s="29" t="n"/>
      <c r="D90" s="29" t="n"/>
      <c r="E90" s="29" t="n"/>
      <c r="F90" s="29" t="n"/>
      <c r="G90" s="29" t="n"/>
      <c r="H90" s="34" t="n"/>
      <c r="I90" s="29" t="n"/>
    </row>
    <row r="91">
      <c r="A91" s="31" t="n"/>
      <c r="B91" s="29" t="n"/>
      <c r="C91" s="29" t="n"/>
      <c r="D91" s="29" t="n"/>
      <c r="E91" s="29" t="n"/>
      <c r="F91" s="29" t="n"/>
      <c r="G91" s="29" t="n"/>
      <c r="H91" s="34" t="n"/>
      <c r="I91" s="29" t="n"/>
    </row>
    <row r="92">
      <c r="A92" s="31" t="n"/>
      <c r="B92" s="29" t="n"/>
      <c r="C92" s="29" t="n"/>
      <c r="D92" s="29" t="n"/>
      <c r="E92" s="29" t="n"/>
      <c r="F92" s="29" t="n"/>
      <c r="G92" s="29" t="n"/>
      <c r="H92" s="34" t="n"/>
      <c r="I92" s="29" t="n"/>
    </row>
    <row r="93">
      <c r="A93" s="31" t="n"/>
      <c r="B93" s="29" t="n"/>
      <c r="C93" s="29" t="n"/>
      <c r="D93" s="29" t="n"/>
      <c r="E93" s="29" t="n"/>
      <c r="F93" s="29" t="n"/>
      <c r="G93" s="29" t="n"/>
      <c r="H93" s="34" t="n"/>
      <c r="I93" s="29" t="n"/>
    </row>
    <row r="94">
      <c r="A94" s="31" t="n"/>
      <c r="B94" s="29" t="n"/>
      <c r="C94" s="29" t="n"/>
      <c r="D94" s="29" t="n"/>
      <c r="E94" s="29" t="n"/>
      <c r="F94" s="29" t="n"/>
      <c r="G94" s="29" t="n"/>
      <c r="H94" s="34" t="n"/>
      <c r="I94" s="29" t="n"/>
    </row>
    <row r="95">
      <c r="A95" s="31" t="n"/>
      <c r="B95" s="29" t="n"/>
      <c r="C95" s="29" t="n"/>
      <c r="D95" s="29" t="n"/>
      <c r="E95" s="29" t="n"/>
      <c r="F95" s="29" t="n"/>
      <c r="G95" s="29" t="n"/>
      <c r="H95" s="34" t="n"/>
      <c r="I95" s="29" t="n"/>
    </row>
    <row r="96">
      <c r="A96" s="31" t="n"/>
      <c r="B96" s="29" t="n"/>
      <c r="C96" s="29" t="n"/>
      <c r="D96" s="29" t="n"/>
      <c r="E96" s="29" t="n"/>
      <c r="F96" s="29" t="n"/>
      <c r="G96" s="29" t="n"/>
      <c r="H96" s="34" t="n"/>
      <c r="I96" s="29" t="n"/>
    </row>
    <row r="97">
      <c r="A97" s="31" t="n"/>
      <c r="B97" s="29" t="n"/>
      <c r="C97" s="29" t="n"/>
      <c r="D97" s="29" t="n"/>
      <c r="E97" s="29" t="n"/>
      <c r="F97" s="29" t="n"/>
      <c r="G97" s="29" t="n"/>
      <c r="H97" s="34" t="n"/>
      <c r="I97" s="29" t="n"/>
    </row>
    <row r="98">
      <c r="A98" s="31" t="n"/>
      <c r="B98" s="29" t="n"/>
      <c r="C98" s="29" t="n"/>
      <c r="D98" s="29" t="n"/>
      <c r="E98" s="29" t="n"/>
      <c r="F98" s="29" t="n"/>
      <c r="G98" s="29" t="n"/>
      <c r="H98" s="34" t="n"/>
      <c r="I98" s="29" t="n"/>
    </row>
    <row r="99">
      <c r="A99" s="31" t="n"/>
      <c r="B99" s="29" t="n"/>
      <c r="C99" s="29" t="n"/>
      <c r="D99" s="29" t="n"/>
      <c r="E99" s="29" t="n"/>
      <c r="F99" s="29" t="n"/>
      <c r="G99" s="29" t="n"/>
      <c r="H99" s="34" t="n"/>
      <c r="I99" s="29" t="n"/>
    </row>
    <row r="100">
      <c r="A100" s="31" t="n"/>
      <c r="B100" s="29" t="n"/>
      <c r="C100" s="29" t="n"/>
      <c r="D100" s="29" t="n"/>
      <c r="E100" s="29" t="n"/>
      <c r="F100" s="29" t="n"/>
      <c r="G100" s="29" t="n"/>
      <c r="H100" s="34" t="n"/>
      <c r="I100" s="29" t="n"/>
    </row>
    <row r="101">
      <c r="A101" s="31" t="n"/>
      <c r="B101" s="29" t="n"/>
      <c r="C101" s="29" t="n"/>
      <c r="D101" s="29" t="n"/>
      <c r="E101" s="29" t="n"/>
      <c r="F101" s="29" t="n"/>
      <c r="G101" s="29" t="n"/>
      <c r="H101" s="34" t="n"/>
      <c r="I101" s="29" t="n"/>
    </row>
    <row r="102">
      <c r="A102" s="31" t="n"/>
      <c r="B102" s="29" t="n"/>
      <c r="C102" s="29" t="n"/>
      <c r="D102" s="29" t="n"/>
      <c r="E102" s="29" t="n"/>
      <c r="F102" s="29" t="n"/>
      <c r="G102" s="29" t="n"/>
      <c r="H102" s="34" t="n"/>
      <c r="I102" s="29" t="n"/>
    </row>
    <row r="103">
      <c r="A103" s="31" t="n"/>
      <c r="B103" s="29" t="n"/>
      <c r="C103" s="29" t="n"/>
      <c r="D103" s="29" t="n"/>
      <c r="E103" s="29" t="n"/>
      <c r="F103" s="29" t="n"/>
      <c r="G103" s="29" t="n"/>
      <c r="H103" s="34" t="n"/>
      <c r="I103" s="29" t="n"/>
    </row>
    <row r="104">
      <c r="A104" s="31" t="n"/>
      <c r="B104" s="29" t="n"/>
      <c r="C104" s="29" t="n"/>
      <c r="D104" s="29" t="n"/>
      <c r="E104" s="29" t="n"/>
      <c r="F104" s="29" t="n"/>
      <c r="G104" s="29" t="n"/>
      <c r="H104" s="34" t="n"/>
      <c r="I104" s="29" t="n"/>
    </row>
    <row r="105">
      <c r="A105" s="31" t="n"/>
      <c r="B105" s="29" t="n"/>
      <c r="C105" s="29" t="n"/>
      <c r="D105" s="29" t="n"/>
      <c r="E105" s="29" t="n"/>
      <c r="F105" s="29" t="n"/>
      <c r="G105" s="29" t="n"/>
      <c r="H105" s="34" t="n"/>
      <c r="I105" s="29" t="n"/>
    </row>
    <row r="106">
      <c r="A106" s="31" t="n"/>
      <c r="B106" s="29" t="n"/>
      <c r="C106" s="29" t="n"/>
      <c r="D106" s="29" t="n"/>
      <c r="E106" s="29" t="n"/>
      <c r="F106" s="29" t="n"/>
      <c r="G106" s="29" t="n"/>
      <c r="H106" s="34" t="n"/>
      <c r="I106" s="29" t="n"/>
    </row>
    <row r="107">
      <c r="A107" s="31" t="n"/>
      <c r="B107" s="29" t="n"/>
      <c r="C107" s="29" t="n"/>
      <c r="D107" s="29" t="n"/>
      <c r="E107" s="29" t="n"/>
      <c r="F107" s="29" t="n"/>
      <c r="G107" s="29" t="n"/>
      <c r="H107" s="34" t="n"/>
      <c r="I107" s="29" t="n"/>
    </row>
    <row r="108">
      <c r="A108" s="31" t="n"/>
      <c r="B108" s="29" t="n"/>
      <c r="C108" s="29" t="n"/>
      <c r="D108" s="29" t="n"/>
      <c r="E108" s="29" t="n"/>
      <c r="F108" s="29" t="n"/>
      <c r="G108" s="29" t="n"/>
      <c r="H108" s="34" t="n"/>
      <c r="I108" s="29" t="n"/>
    </row>
    <row r="109">
      <c r="A109" s="31" t="n"/>
      <c r="B109" s="29" t="n"/>
      <c r="C109" s="29" t="n"/>
      <c r="D109" s="29" t="n"/>
      <c r="E109" s="29" t="n"/>
      <c r="F109" s="29" t="n"/>
      <c r="G109" s="29" t="n"/>
      <c r="H109" s="34" t="n"/>
      <c r="I109" s="29" t="n"/>
    </row>
    <row r="110">
      <c r="A110" s="31" t="n"/>
      <c r="B110" s="29" t="n"/>
      <c r="C110" s="29" t="n"/>
      <c r="D110" s="29" t="n"/>
      <c r="E110" s="29" t="n"/>
      <c r="F110" s="29" t="n"/>
      <c r="G110" s="29" t="n"/>
      <c r="H110" s="34" t="n"/>
      <c r="I110" s="29" t="n"/>
    </row>
    <row r="111">
      <c r="A111" s="31" t="n"/>
      <c r="B111" s="29" t="n"/>
      <c r="C111" s="29" t="n"/>
      <c r="D111" s="29" t="n"/>
      <c r="E111" s="29" t="n"/>
      <c r="F111" s="29" t="n"/>
      <c r="G111" s="29" t="n"/>
      <c r="H111" s="34" t="n"/>
      <c r="I111" s="29" t="n"/>
    </row>
    <row r="112">
      <c r="A112" s="31" t="n"/>
      <c r="B112" s="29" t="n"/>
      <c r="C112" s="29" t="n"/>
      <c r="D112" s="29" t="n"/>
      <c r="E112" s="29" t="n"/>
      <c r="F112" s="29" t="n"/>
      <c r="G112" s="29" t="n"/>
      <c r="H112" s="34" t="n"/>
      <c r="I112" s="29" t="n"/>
    </row>
    <row r="113">
      <c r="A113" s="31" t="n"/>
      <c r="B113" s="29" t="n"/>
      <c r="C113" s="29" t="n"/>
      <c r="D113" s="29" t="n"/>
      <c r="E113" s="29" t="n"/>
      <c r="F113" s="29" t="n"/>
      <c r="G113" s="29" t="n"/>
      <c r="H113" s="34" t="n"/>
      <c r="I113" s="29" t="n"/>
    </row>
    <row r="114">
      <c r="A114" s="31" t="n"/>
      <c r="B114" s="29" t="n"/>
      <c r="C114" s="29" t="n"/>
      <c r="D114" s="29" t="n"/>
      <c r="E114" s="29" t="n"/>
      <c r="F114" s="29" t="n"/>
      <c r="G114" s="29" t="n"/>
      <c r="H114" s="34" t="n"/>
      <c r="I114" s="29" t="n"/>
    </row>
    <row r="115">
      <c r="A115" s="31" t="n"/>
      <c r="B115" s="29" t="n"/>
      <c r="C115" s="29" t="n"/>
      <c r="D115" s="29" t="n"/>
      <c r="E115" s="29" t="n"/>
      <c r="F115" s="29" t="n"/>
      <c r="G115" s="29" t="n"/>
      <c r="H115" s="34" t="n"/>
      <c r="I115" s="29" t="n"/>
    </row>
    <row r="116">
      <c r="A116" s="31" t="n"/>
      <c r="B116" s="29" t="n"/>
      <c r="C116" s="29" t="n"/>
      <c r="D116" s="29" t="n"/>
      <c r="E116" s="29" t="n"/>
      <c r="F116" s="29" t="n"/>
      <c r="G116" s="29" t="n"/>
      <c r="H116" s="34" t="n"/>
      <c r="I116" s="29" t="n"/>
    </row>
    <row r="117">
      <c r="A117" s="31" t="n"/>
      <c r="B117" s="29" t="n"/>
      <c r="C117" s="29" t="n"/>
      <c r="D117" s="29" t="n"/>
      <c r="E117" s="29" t="n"/>
      <c r="F117" s="29" t="n"/>
      <c r="G117" s="29" t="n"/>
      <c r="H117" s="34" t="n"/>
      <c r="I117" s="29" t="n"/>
    </row>
    <row r="118">
      <c r="A118" s="31" t="n"/>
      <c r="B118" s="29" t="n"/>
      <c r="C118" s="29" t="n"/>
      <c r="D118" s="29" t="n"/>
      <c r="E118" s="29" t="n"/>
      <c r="F118" s="29" t="n"/>
      <c r="G118" s="29" t="n"/>
      <c r="H118" s="34" t="n"/>
      <c r="I118" s="29" t="n"/>
    </row>
    <row r="119">
      <c r="A119" s="31" t="n"/>
      <c r="B119" s="29" t="n"/>
      <c r="C119" s="29" t="n"/>
      <c r="D119" s="29" t="n"/>
      <c r="E119" s="29" t="n"/>
      <c r="F119" s="29" t="n"/>
      <c r="G119" s="29" t="n"/>
      <c r="H119" s="34" t="n"/>
      <c r="I119" s="29" t="n"/>
    </row>
    <row r="120">
      <c r="A120" s="31" t="n"/>
      <c r="B120" s="29" t="n"/>
      <c r="C120" s="29" t="n"/>
      <c r="D120" s="29" t="n"/>
      <c r="E120" s="29" t="n"/>
      <c r="F120" s="29" t="n"/>
      <c r="G120" s="29" t="n"/>
      <c r="H120" s="34" t="n"/>
      <c r="I120" s="29" t="n"/>
    </row>
    <row r="121">
      <c r="A121" s="31" t="n"/>
      <c r="B121" s="29" t="n"/>
      <c r="C121" s="29" t="n"/>
      <c r="D121" s="29" t="n"/>
      <c r="E121" s="29" t="n"/>
      <c r="F121" s="29" t="n"/>
      <c r="G121" s="29" t="n"/>
      <c r="H121" s="34" t="n"/>
      <c r="I121" s="29" t="n"/>
    </row>
    <row r="122">
      <c r="A122" s="31" t="n"/>
      <c r="B122" s="29" t="n"/>
      <c r="C122" s="29" t="n"/>
      <c r="D122" s="29" t="n"/>
      <c r="E122" s="29" t="n"/>
      <c r="F122" s="29" t="n"/>
      <c r="G122" s="29" t="n"/>
      <c r="H122" s="34" t="n"/>
      <c r="I122" s="29" t="n"/>
    </row>
    <row r="123">
      <c r="A123" s="31" t="n"/>
      <c r="B123" s="29" t="n"/>
      <c r="C123" s="29" t="n"/>
      <c r="D123" s="29" t="n"/>
      <c r="E123" s="29" t="n"/>
      <c r="F123" s="29" t="n"/>
      <c r="G123" s="29" t="n"/>
      <c r="H123" s="34" t="n"/>
      <c r="I123" s="29" t="n"/>
    </row>
    <row r="124">
      <c r="A124" s="31" t="n"/>
      <c r="B124" s="29" t="n"/>
      <c r="C124" s="29" t="n"/>
      <c r="D124" s="29" t="n"/>
      <c r="E124" s="29" t="n"/>
      <c r="F124" s="29" t="n"/>
      <c r="G124" s="29" t="n"/>
      <c r="H124" s="34" t="n"/>
      <c r="I124" s="29" t="n"/>
    </row>
    <row r="125">
      <c r="A125" s="31" t="n"/>
      <c r="B125" s="29" t="n"/>
      <c r="C125" s="29" t="n"/>
      <c r="D125" s="29" t="n"/>
      <c r="E125" s="29" t="n"/>
      <c r="F125" s="29" t="n"/>
      <c r="G125" s="29" t="n"/>
      <c r="H125" s="34" t="n"/>
      <c r="I125" s="29" t="n"/>
    </row>
    <row r="126">
      <c r="A126" s="31" t="n"/>
      <c r="B126" s="29" t="n"/>
      <c r="C126" s="29" t="n"/>
      <c r="D126" s="29" t="n"/>
      <c r="E126" s="29" t="n"/>
      <c r="F126" s="29" t="n"/>
      <c r="G126" s="29" t="n"/>
      <c r="H126" s="34" t="n"/>
      <c r="I126" s="29" t="n"/>
    </row>
    <row r="127">
      <c r="A127" s="31" t="n"/>
      <c r="B127" s="29" t="n"/>
      <c r="C127" s="29" t="n"/>
      <c r="D127" s="29" t="n"/>
      <c r="E127" s="29" t="n"/>
      <c r="F127" s="29" t="n"/>
      <c r="G127" s="29" t="n"/>
      <c r="H127" s="34" t="n"/>
      <c r="I127" s="29" t="n"/>
    </row>
    <row r="128">
      <c r="A128" s="31" t="n"/>
      <c r="B128" s="29" t="n"/>
      <c r="C128" s="29" t="n"/>
      <c r="D128" s="29" t="n"/>
      <c r="E128" s="29" t="n"/>
      <c r="F128" s="29" t="n"/>
      <c r="G128" s="29" t="n"/>
      <c r="H128" s="34" t="n"/>
      <c r="I128" s="29" t="n"/>
    </row>
    <row r="129">
      <c r="A129" s="31" t="n"/>
      <c r="B129" s="29" t="n"/>
      <c r="C129" s="29" t="n"/>
      <c r="D129" s="29" t="n"/>
      <c r="E129" s="29" t="n"/>
      <c r="F129" s="29" t="n"/>
      <c r="G129" s="29" t="n"/>
      <c r="H129" s="34" t="n"/>
      <c r="I129" s="29" t="n"/>
    </row>
    <row r="130">
      <c r="A130" s="31" t="n"/>
      <c r="B130" s="29" t="n"/>
      <c r="C130" s="29" t="n"/>
      <c r="D130" s="29" t="n"/>
      <c r="E130" s="29" t="n"/>
      <c r="F130" s="29" t="n"/>
      <c r="G130" s="29" t="n"/>
      <c r="H130" s="34" t="n"/>
      <c r="I130" s="29" t="n"/>
    </row>
    <row r="131">
      <c r="A131" s="31" t="n"/>
      <c r="B131" s="29" t="n"/>
      <c r="C131" s="29" t="n"/>
      <c r="D131" s="29" t="n"/>
      <c r="E131" s="29" t="n"/>
      <c r="F131" s="29" t="n"/>
      <c r="G131" s="29" t="n"/>
      <c r="H131" s="34" t="n"/>
      <c r="I131" s="29" t="n"/>
    </row>
    <row r="132">
      <c r="A132" s="31" t="n"/>
      <c r="B132" s="29" t="n"/>
      <c r="C132" s="29" t="n"/>
      <c r="D132" s="29" t="n"/>
      <c r="E132" s="29" t="n"/>
      <c r="F132" s="29" t="n"/>
      <c r="G132" s="29" t="n"/>
      <c r="H132" s="34" t="n"/>
      <c r="I132" s="29" t="n"/>
    </row>
    <row r="133">
      <c r="A133" s="31" t="n"/>
      <c r="B133" s="29" t="n"/>
      <c r="C133" s="29" t="n"/>
      <c r="D133" s="29" t="n"/>
      <c r="E133" s="29" t="n"/>
      <c r="F133" s="29" t="n"/>
      <c r="G133" s="29" t="n"/>
      <c r="H133" s="34" t="n"/>
      <c r="I133" s="29" t="n"/>
    </row>
    <row r="134">
      <c r="A134" s="31" t="n"/>
      <c r="B134" s="29" t="n"/>
      <c r="C134" s="29" t="n"/>
      <c r="D134" s="29" t="n"/>
      <c r="E134" s="29" t="n"/>
      <c r="F134" s="29" t="n"/>
      <c r="G134" s="29" t="n"/>
      <c r="H134" s="34" t="n"/>
      <c r="I134" s="29" t="n"/>
    </row>
    <row r="135">
      <c r="A135" s="31" t="n"/>
      <c r="B135" s="29" t="n"/>
      <c r="C135" s="29" t="n"/>
      <c r="D135" s="29" t="n"/>
      <c r="E135" s="29" t="n"/>
      <c r="F135" s="29" t="n"/>
      <c r="G135" s="29" t="n"/>
      <c r="H135" s="34" t="n"/>
      <c r="I135" s="29" t="n"/>
    </row>
    <row r="136">
      <c r="A136" s="31" t="n"/>
      <c r="B136" s="29" t="n"/>
      <c r="C136" s="29" t="n"/>
      <c r="D136" s="29" t="n"/>
      <c r="E136" s="29" t="n"/>
      <c r="F136" s="29" t="n"/>
      <c r="G136" s="29" t="n"/>
      <c r="H136" s="34" t="n"/>
      <c r="I136" s="29" t="n"/>
    </row>
    <row r="137">
      <c r="A137" s="31" t="n"/>
      <c r="B137" s="29" t="n"/>
      <c r="C137" s="29" t="n"/>
      <c r="D137" s="29" t="n"/>
      <c r="E137" s="29" t="n"/>
      <c r="F137" s="29" t="n"/>
      <c r="G137" s="29" t="n"/>
      <c r="H137" s="34" t="n"/>
      <c r="I137" s="29" t="n"/>
    </row>
    <row r="138">
      <c r="A138" s="31" t="n"/>
      <c r="B138" s="29" t="n"/>
      <c r="C138" s="29" t="n"/>
      <c r="D138" s="29" t="n"/>
      <c r="E138" s="29" t="n"/>
      <c r="F138" s="29" t="n"/>
      <c r="G138" s="29" t="n"/>
      <c r="H138" s="34" t="n"/>
      <c r="I138" s="29" t="n"/>
    </row>
    <row r="139">
      <c r="A139" s="31" t="n"/>
      <c r="B139" s="29" t="n"/>
      <c r="C139" s="29" t="n"/>
      <c r="D139" s="29" t="n"/>
      <c r="E139" s="29" t="n"/>
      <c r="F139" s="29" t="n"/>
      <c r="G139" s="29" t="n"/>
      <c r="H139" s="34" t="n"/>
      <c r="I139" s="29" t="n"/>
    </row>
    <row r="140">
      <c r="A140" s="31" t="n"/>
      <c r="B140" s="29" t="n"/>
      <c r="C140" s="29" t="n"/>
      <c r="D140" s="29" t="n"/>
      <c r="E140" s="29" t="n"/>
      <c r="F140" s="29" t="n"/>
      <c r="G140" s="29" t="n"/>
      <c r="H140" s="34" t="n"/>
      <c r="I140" s="29" t="n"/>
    </row>
    <row r="141">
      <c r="A141" s="31" t="n"/>
      <c r="B141" s="29" t="n"/>
      <c r="C141" s="29" t="n"/>
      <c r="D141" s="29" t="n"/>
      <c r="E141" s="29" t="n"/>
      <c r="F141" s="29" t="n"/>
      <c r="G141" s="29" t="n"/>
      <c r="H141" s="34" t="n"/>
      <c r="I141" s="29" t="n"/>
    </row>
    <row r="142">
      <c r="A142" s="31" t="n"/>
      <c r="B142" s="29" t="n"/>
      <c r="C142" s="29" t="n"/>
      <c r="D142" s="29" t="n"/>
      <c r="E142" s="29" t="n"/>
      <c r="F142" s="29" t="n"/>
      <c r="G142" s="29" t="n"/>
      <c r="H142" s="34" t="n"/>
      <c r="I142" s="29" t="n"/>
    </row>
    <row r="143">
      <c r="A143" s="31" t="n"/>
      <c r="B143" s="29" t="n"/>
      <c r="C143" s="29" t="n"/>
      <c r="D143" s="29" t="n"/>
      <c r="E143" s="29" t="n"/>
      <c r="F143" s="29" t="n"/>
      <c r="G143" s="29" t="n"/>
      <c r="H143" s="34" t="n"/>
      <c r="I143" s="29" t="n"/>
    </row>
    <row r="144">
      <c r="A144" s="31" t="n"/>
      <c r="B144" s="29" t="n"/>
      <c r="C144" s="29" t="n"/>
      <c r="D144" s="29" t="n"/>
      <c r="E144" s="29" t="n"/>
      <c r="F144" s="29" t="n"/>
      <c r="G144" s="29" t="n"/>
      <c r="H144" s="34" t="n"/>
      <c r="I144" s="29" t="n"/>
    </row>
    <row r="145">
      <c r="A145" s="31" t="n"/>
      <c r="B145" s="29" t="n"/>
      <c r="C145" s="29" t="n"/>
      <c r="D145" s="29" t="n"/>
      <c r="E145" s="29" t="n"/>
      <c r="F145" s="29" t="n"/>
      <c r="G145" s="29" t="n"/>
      <c r="H145" s="34" t="n"/>
      <c r="I145" s="29" t="n"/>
    </row>
    <row r="146">
      <c r="A146" s="31" t="n"/>
      <c r="B146" s="29" t="n"/>
      <c r="C146" s="29" t="n"/>
      <c r="D146" s="29" t="n"/>
      <c r="E146" s="29" t="n"/>
      <c r="F146" s="29" t="n"/>
      <c r="G146" s="29" t="n"/>
      <c r="H146" s="34" t="n"/>
      <c r="I146" s="29" t="n"/>
    </row>
    <row r="147">
      <c r="A147" s="31" t="n"/>
      <c r="B147" s="29" t="n"/>
      <c r="C147" s="29" t="n"/>
      <c r="D147" s="29" t="n"/>
      <c r="E147" s="29" t="n"/>
      <c r="F147" s="29" t="n"/>
      <c r="G147" s="29" t="n"/>
      <c r="H147" s="34" t="n"/>
      <c r="I147" s="29" t="n"/>
    </row>
    <row r="148">
      <c r="A148" s="31" t="n"/>
      <c r="B148" s="29" t="n"/>
      <c r="C148" s="29" t="n"/>
      <c r="D148" s="29" t="n"/>
      <c r="E148" s="29" t="n"/>
      <c r="F148" s="29" t="n"/>
      <c r="G148" s="29" t="n"/>
      <c r="H148" s="34" t="n"/>
      <c r="I148" s="29" t="n"/>
    </row>
    <row r="149">
      <c r="A149" s="31" t="n"/>
      <c r="B149" s="29" t="n"/>
      <c r="C149" s="29" t="n"/>
      <c r="D149" s="29" t="n"/>
      <c r="E149" s="29" t="n"/>
      <c r="F149" s="29" t="n"/>
      <c r="G149" s="29" t="n"/>
      <c r="H149" s="34" t="n"/>
      <c r="I149" s="29" t="n"/>
    </row>
    <row r="150">
      <c r="A150" s="31" t="n"/>
      <c r="B150" s="29" t="n"/>
      <c r="C150" s="29" t="n"/>
      <c r="D150" s="29" t="n"/>
      <c r="E150" s="29" t="n"/>
      <c r="F150" s="29" t="n"/>
      <c r="G150" s="29" t="n"/>
      <c r="H150" s="34" t="n"/>
      <c r="I150" s="29" t="n"/>
    </row>
    <row r="151">
      <c r="A151" s="31" t="n"/>
      <c r="B151" s="29" t="n"/>
      <c r="C151" s="29" t="n"/>
      <c r="D151" s="29" t="n"/>
      <c r="E151" s="29" t="n"/>
      <c r="F151" s="29" t="n"/>
      <c r="G151" s="29" t="n"/>
      <c r="H151" s="34" t="n"/>
      <c r="I151" s="29" t="n"/>
    </row>
    <row r="152">
      <c r="A152" s="31" t="n"/>
      <c r="B152" s="29" t="n"/>
      <c r="C152" s="29" t="n"/>
      <c r="D152" s="29" t="n"/>
      <c r="E152" s="29" t="n"/>
      <c r="F152" s="29" t="n"/>
      <c r="G152" s="29" t="n"/>
      <c r="H152" s="34" t="n"/>
      <c r="I152" s="29" t="n"/>
    </row>
    <row r="153">
      <c r="A153" s="31" t="n"/>
      <c r="B153" s="29" t="n"/>
      <c r="C153" s="29" t="n"/>
      <c r="D153" s="29" t="n"/>
      <c r="E153" s="29" t="n"/>
      <c r="F153" s="29" t="n"/>
      <c r="G153" s="29" t="n"/>
      <c r="H153" s="34" t="n"/>
      <c r="I153" s="29" t="n"/>
    </row>
    <row r="154">
      <c r="A154" s="31" t="n"/>
      <c r="B154" s="29" t="n"/>
      <c r="C154" s="29" t="n"/>
      <c r="D154" s="29" t="n"/>
      <c r="E154" s="29" t="n"/>
      <c r="F154" s="29" t="n"/>
      <c r="G154" s="29" t="n"/>
      <c r="H154" s="34" t="n"/>
      <c r="I154" s="29" t="n"/>
    </row>
    <row r="155">
      <c r="A155" s="31" t="n"/>
      <c r="B155" s="29" t="n"/>
      <c r="C155" s="29" t="n"/>
      <c r="D155" s="29" t="n"/>
      <c r="E155" s="29" t="n"/>
      <c r="F155" s="29" t="n"/>
      <c r="G155" s="29" t="n"/>
      <c r="H155" s="34" t="n"/>
      <c r="I155" s="29" t="n"/>
    </row>
    <row r="156">
      <c r="A156" s="31" t="n"/>
      <c r="B156" s="29" t="n"/>
      <c r="C156" s="29" t="n"/>
      <c r="D156" s="29" t="n"/>
      <c r="E156" s="29" t="n"/>
      <c r="F156" s="29" t="n"/>
      <c r="G156" s="29" t="n"/>
      <c r="H156" s="34" t="n"/>
      <c r="I156" s="29" t="n"/>
    </row>
    <row r="157">
      <c r="A157" s="31" t="n"/>
      <c r="B157" s="29" t="n"/>
      <c r="C157" s="29" t="n"/>
      <c r="D157" s="29" t="n"/>
      <c r="E157" s="29" t="n"/>
      <c r="F157" s="29" t="n"/>
      <c r="G157" s="29" t="n"/>
      <c r="H157" s="34" t="n"/>
      <c r="I157" s="29" t="n"/>
    </row>
    <row r="158">
      <c r="A158" s="31" t="n"/>
      <c r="B158" s="29" t="n"/>
      <c r="C158" s="29" t="n"/>
      <c r="D158" s="29" t="n"/>
      <c r="E158" s="29" t="n"/>
      <c r="F158" s="29" t="n"/>
      <c r="G158" s="29" t="n"/>
      <c r="H158" s="34" t="n"/>
      <c r="I158" s="29" t="n"/>
    </row>
    <row r="159">
      <c r="A159" s="31" t="n"/>
      <c r="B159" s="29" t="n"/>
      <c r="C159" s="29" t="n"/>
      <c r="D159" s="29" t="n"/>
      <c r="E159" s="29" t="n"/>
      <c r="F159" s="29" t="n"/>
      <c r="G159" s="29" t="n"/>
      <c r="H159" s="34" t="n"/>
      <c r="I159" s="29" t="n"/>
    </row>
    <row r="160">
      <c r="A160" s="31" t="n"/>
      <c r="B160" s="29" t="n"/>
      <c r="C160" s="29" t="n"/>
      <c r="D160" s="29" t="n"/>
      <c r="E160" s="29" t="n"/>
      <c r="F160" s="29" t="n"/>
      <c r="G160" s="29" t="n"/>
      <c r="H160" s="34" t="n"/>
      <c r="I160" s="29" t="n"/>
    </row>
    <row r="161">
      <c r="A161" s="31" t="n"/>
      <c r="B161" s="29" t="n"/>
      <c r="C161" s="29" t="n"/>
      <c r="D161" s="29" t="n"/>
      <c r="E161" s="29" t="n"/>
      <c r="F161" s="29" t="n"/>
      <c r="G161" s="29" t="n"/>
      <c r="H161" s="34" t="n"/>
      <c r="I161" s="29" t="n"/>
    </row>
    <row r="162">
      <c r="A162" s="31" t="n"/>
      <c r="B162" s="29" t="n"/>
      <c r="C162" s="29" t="n"/>
      <c r="D162" s="29" t="n"/>
      <c r="E162" s="29" t="n"/>
      <c r="F162" s="29" t="n"/>
      <c r="G162" s="29" t="n"/>
      <c r="H162" s="34" t="n"/>
      <c r="I162" s="29" t="n"/>
    </row>
    <row r="163">
      <c r="A163" s="31" t="n"/>
      <c r="B163" s="29" t="n"/>
      <c r="C163" s="29" t="n"/>
      <c r="D163" s="29" t="n"/>
      <c r="E163" s="29" t="n"/>
      <c r="F163" s="29" t="n"/>
      <c r="G163" s="29" t="n"/>
      <c r="H163" s="34" t="n"/>
      <c r="I163" s="29" t="n"/>
    </row>
    <row r="164">
      <c r="A164" s="31" t="n"/>
      <c r="B164" s="29" t="n"/>
      <c r="C164" s="29" t="n"/>
      <c r="D164" s="29" t="n"/>
      <c r="E164" s="29" t="n"/>
      <c r="F164" s="29" t="n"/>
      <c r="G164" s="29" t="n"/>
      <c r="H164" s="34" t="n"/>
      <c r="I164" s="29" t="n"/>
    </row>
    <row r="165">
      <c r="A165" s="31" t="n"/>
      <c r="B165" s="29" t="n"/>
      <c r="C165" s="29" t="n"/>
      <c r="D165" s="29" t="n"/>
      <c r="E165" s="29" t="n"/>
      <c r="F165" s="29" t="n"/>
      <c r="G165" s="29" t="n"/>
      <c r="H165" s="34" t="n"/>
      <c r="I165" s="29" t="n"/>
    </row>
    <row r="166">
      <c r="A166" s="31" t="n"/>
      <c r="B166" s="29" t="n"/>
      <c r="C166" s="29" t="n"/>
      <c r="D166" s="29" t="n"/>
      <c r="E166" s="29" t="n"/>
      <c r="F166" s="29" t="n"/>
      <c r="G166" s="29" t="n"/>
      <c r="H166" s="34" t="n"/>
      <c r="I166" s="29" t="n"/>
    </row>
    <row r="167">
      <c r="A167" s="31" t="n"/>
      <c r="B167" s="29" t="n"/>
      <c r="C167" s="29" t="n"/>
      <c r="D167" s="29" t="n"/>
      <c r="E167" s="29" t="n"/>
      <c r="F167" s="29" t="n"/>
      <c r="G167" s="29" t="n"/>
      <c r="H167" s="34" t="n"/>
      <c r="I167" s="29" t="n"/>
    </row>
    <row r="168">
      <c r="A168" s="31" t="n"/>
      <c r="B168" s="29" t="n"/>
      <c r="C168" s="29" t="n"/>
      <c r="D168" s="29" t="n"/>
      <c r="E168" s="29" t="n"/>
      <c r="F168" s="29" t="n"/>
      <c r="G168" s="29" t="n"/>
      <c r="H168" s="34" t="n"/>
      <c r="I168" s="29" t="n"/>
    </row>
    <row r="169">
      <c r="A169" s="31" t="n"/>
      <c r="B169" s="29" t="n"/>
      <c r="C169" s="29" t="n"/>
      <c r="D169" s="29" t="n"/>
      <c r="E169" s="29" t="n"/>
      <c r="F169" s="29" t="n"/>
      <c r="G169" s="29" t="n"/>
      <c r="H169" s="34" t="n"/>
      <c r="I169" s="29" t="n"/>
    </row>
    <row r="170">
      <c r="A170" s="31" t="n"/>
      <c r="B170" s="29" t="n"/>
      <c r="C170" s="29" t="n"/>
      <c r="D170" s="29" t="n"/>
      <c r="E170" s="29" t="n"/>
      <c r="F170" s="29" t="n"/>
      <c r="G170" s="29" t="n"/>
      <c r="H170" s="34" t="n"/>
      <c r="I170" s="29" t="n"/>
    </row>
    <row r="171">
      <c r="A171" s="31" t="n"/>
      <c r="B171" s="29" t="n"/>
      <c r="C171" s="29" t="n"/>
      <c r="D171" s="29" t="n"/>
      <c r="E171" s="29" t="n"/>
      <c r="F171" s="29" t="n"/>
      <c r="G171" s="29" t="n"/>
      <c r="H171" s="34" t="n"/>
      <c r="I171" s="29" t="n"/>
    </row>
    <row r="172">
      <c r="A172" s="31" t="n"/>
      <c r="B172" s="29" t="n"/>
      <c r="C172" s="29" t="n"/>
      <c r="D172" s="29" t="n"/>
      <c r="E172" s="29" t="n"/>
      <c r="F172" s="29" t="n"/>
      <c r="G172" s="29" t="n"/>
      <c r="H172" s="34" t="n"/>
      <c r="I172" s="29" t="n"/>
    </row>
    <row r="173">
      <c r="A173" s="31" t="n"/>
      <c r="B173" s="29" t="n"/>
      <c r="C173" s="29" t="n"/>
      <c r="D173" s="29" t="n"/>
      <c r="E173" s="29" t="n"/>
      <c r="F173" s="29" t="n"/>
      <c r="G173" s="29" t="n"/>
      <c r="H173" s="34" t="n"/>
      <c r="I173" s="29" t="n"/>
    </row>
    <row r="174">
      <c r="A174" s="31" t="n"/>
      <c r="B174" s="29" t="n"/>
      <c r="C174" s="29" t="n"/>
      <c r="D174" s="29" t="n"/>
      <c r="E174" s="29" t="n"/>
      <c r="F174" s="29" t="n"/>
      <c r="G174" s="29" t="n"/>
      <c r="H174" s="34" t="n"/>
      <c r="I174" s="29" t="n"/>
    </row>
    <row r="175">
      <c r="A175" s="31" t="n"/>
      <c r="B175" s="29" t="n"/>
      <c r="C175" s="29" t="n"/>
      <c r="D175" s="29" t="n"/>
      <c r="E175" s="29" t="n"/>
      <c r="F175" s="29" t="n"/>
      <c r="G175" s="29" t="n"/>
      <c r="H175" s="34" t="n"/>
      <c r="I175" s="29" t="n"/>
    </row>
    <row r="176">
      <c r="A176" s="31" t="n"/>
      <c r="B176" s="29" t="n"/>
      <c r="C176" s="29" t="n"/>
      <c r="D176" s="29" t="n"/>
      <c r="E176" s="29" t="n"/>
      <c r="F176" s="29" t="n"/>
      <c r="G176" s="29" t="n"/>
      <c r="H176" s="34" t="n"/>
      <c r="I176" s="29" t="n"/>
    </row>
    <row r="177">
      <c r="A177" s="31" t="n"/>
      <c r="B177" s="29" t="n"/>
      <c r="C177" s="29" t="n"/>
      <c r="D177" s="29" t="n"/>
      <c r="E177" s="29" t="n"/>
      <c r="F177" s="29" t="n"/>
      <c r="G177" s="29" t="n"/>
      <c r="H177" s="34" t="n"/>
      <c r="I177" s="29" t="n"/>
    </row>
    <row r="178">
      <c r="A178" s="31" t="n"/>
      <c r="B178" s="29" t="n"/>
      <c r="C178" s="29" t="n"/>
      <c r="D178" s="29" t="n"/>
      <c r="E178" s="29" t="n"/>
      <c r="F178" s="29" t="n"/>
      <c r="G178" s="29" t="n"/>
      <c r="H178" s="34" t="n"/>
      <c r="I178" s="29" t="n"/>
    </row>
    <row r="179">
      <c r="A179" s="31" t="n"/>
      <c r="B179" s="29" t="n"/>
      <c r="C179" s="29" t="n"/>
      <c r="D179" s="29" t="n"/>
      <c r="E179" s="29" t="n"/>
      <c r="F179" s="29" t="n"/>
      <c r="G179" s="29" t="n"/>
      <c r="H179" s="34" t="n"/>
      <c r="I179" s="29" t="n"/>
    </row>
    <row r="180">
      <c r="A180" s="31" t="n"/>
      <c r="B180" s="29" t="n"/>
      <c r="C180" s="29" t="n"/>
      <c r="D180" s="29" t="n"/>
      <c r="E180" s="29" t="n"/>
      <c r="F180" s="29" t="n"/>
      <c r="G180" s="29" t="n"/>
      <c r="H180" s="34" t="n"/>
      <c r="I180" s="29" t="n"/>
    </row>
    <row r="181">
      <c r="A181" s="31" t="n"/>
      <c r="B181" s="29" t="n"/>
      <c r="C181" s="29" t="n"/>
      <c r="D181" s="29" t="n"/>
      <c r="E181" s="29" t="n"/>
      <c r="F181" s="29" t="n"/>
      <c r="G181" s="29" t="n"/>
      <c r="H181" s="34" t="n"/>
      <c r="I181" s="29" t="n"/>
    </row>
    <row r="182">
      <c r="A182" s="31" t="n"/>
      <c r="B182" s="29" t="n"/>
      <c r="C182" s="29" t="n"/>
      <c r="D182" s="29" t="n"/>
      <c r="E182" s="29" t="n"/>
      <c r="F182" s="29" t="n"/>
      <c r="G182" s="29" t="n"/>
      <c r="H182" s="34" t="n"/>
      <c r="I182" s="29" t="n"/>
    </row>
    <row r="183">
      <c r="A183" s="31" t="n"/>
      <c r="B183" s="29" t="n"/>
      <c r="C183" s="29" t="n"/>
      <c r="D183" s="29" t="n"/>
      <c r="E183" s="29" t="n"/>
      <c r="F183" s="29" t="n"/>
      <c r="G183" s="29" t="n"/>
      <c r="H183" s="34" t="n"/>
      <c r="I183" s="29" t="n"/>
    </row>
    <row r="184">
      <c r="A184" s="31" t="n"/>
      <c r="B184" s="29" t="n"/>
      <c r="C184" s="29" t="n"/>
      <c r="D184" s="29" t="n"/>
      <c r="E184" s="29" t="n"/>
      <c r="F184" s="29" t="n"/>
      <c r="G184" s="29" t="n"/>
      <c r="H184" s="34" t="n"/>
      <c r="I184" s="29" t="n"/>
    </row>
    <row r="185">
      <c r="A185" s="31" t="n"/>
      <c r="B185" s="29" t="n"/>
      <c r="C185" s="29" t="n"/>
      <c r="D185" s="29" t="n"/>
      <c r="E185" s="29" t="n"/>
      <c r="F185" s="29" t="n"/>
      <c r="G185" s="29" t="n"/>
      <c r="H185" s="34" t="n"/>
      <c r="I185" s="29" t="n"/>
    </row>
    <row r="186">
      <c r="A186" s="31" t="n"/>
      <c r="B186" s="29" t="n"/>
      <c r="C186" s="29" t="n"/>
      <c r="D186" s="29" t="n"/>
      <c r="E186" s="29" t="n"/>
      <c r="F186" s="29" t="n"/>
      <c r="G186" s="29" t="n"/>
      <c r="H186" s="34" t="n"/>
      <c r="I186" s="29" t="n"/>
    </row>
    <row r="187">
      <c r="A187" s="31" t="n"/>
      <c r="B187" s="29" t="n"/>
      <c r="C187" s="29" t="n"/>
      <c r="D187" s="29" t="n"/>
      <c r="E187" s="29" t="n"/>
      <c r="F187" s="29" t="n"/>
      <c r="G187" s="29" t="n"/>
      <c r="H187" s="34" t="n"/>
      <c r="I187" s="29" t="n"/>
    </row>
    <row r="188">
      <c r="A188" s="31" t="n"/>
      <c r="B188" s="29" t="n"/>
      <c r="C188" s="29" t="n"/>
      <c r="D188" s="29" t="n"/>
      <c r="E188" s="29" t="n"/>
      <c r="F188" s="29" t="n"/>
      <c r="G188" s="29" t="n"/>
      <c r="H188" s="34" t="n"/>
      <c r="I188" s="29" t="n"/>
    </row>
    <row r="189">
      <c r="A189" s="31" t="n"/>
      <c r="B189" s="29" t="n"/>
      <c r="C189" s="29" t="n"/>
      <c r="D189" s="29" t="n"/>
      <c r="E189" s="29" t="n"/>
      <c r="F189" s="29" t="n"/>
      <c r="G189" s="29" t="n"/>
      <c r="H189" s="34" t="n"/>
      <c r="I189" s="29" t="n"/>
    </row>
    <row r="190">
      <c r="A190" s="31" t="n"/>
      <c r="B190" s="29" t="n"/>
      <c r="C190" s="29" t="n"/>
      <c r="D190" s="29" t="n"/>
      <c r="E190" s="29" t="n"/>
      <c r="F190" s="29" t="n"/>
      <c r="G190" s="29" t="n"/>
      <c r="H190" s="34" t="n"/>
      <c r="I190" s="29" t="n"/>
    </row>
    <row r="191">
      <c r="A191" s="31" t="n"/>
      <c r="B191" s="29" t="n"/>
      <c r="C191" s="29" t="n"/>
      <c r="D191" s="29" t="n"/>
      <c r="E191" s="29" t="n"/>
      <c r="F191" s="29" t="n"/>
      <c r="G191" s="29" t="n"/>
      <c r="H191" s="34" t="n"/>
      <c r="I191" s="29" t="n"/>
    </row>
    <row r="192">
      <c r="A192" s="31" t="n"/>
      <c r="B192" s="29" t="n"/>
      <c r="C192" s="29" t="n"/>
      <c r="D192" s="29" t="n"/>
      <c r="E192" s="29" t="n"/>
      <c r="F192" s="29" t="n"/>
      <c r="G192" s="29" t="n"/>
      <c r="H192" s="34" t="n"/>
      <c r="I192" s="29" t="n"/>
    </row>
    <row r="193">
      <c r="A193" s="31" t="n"/>
      <c r="B193" s="29" t="n"/>
      <c r="C193" s="29" t="n"/>
      <c r="D193" s="29" t="n"/>
      <c r="E193" s="29" t="n"/>
      <c r="F193" s="29" t="n"/>
      <c r="G193" s="29" t="n"/>
      <c r="H193" s="34" t="n"/>
      <c r="I193" s="29" t="n"/>
    </row>
    <row r="194">
      <c r="A194" s="31" t="n"/>
      <c r="B194" s="29" t="n"/>
      <c r="C194" s="29" t="n"/>
      <c r="D194" s="29" t="n"/>
      <c r="E194" s="29" t="n"/>
      <c r="F194" s="29" t="n"/>
      <c r="G194" s="29" t="n"/>
      <c r="H194" s="34" t="n"/>
      <c r="I194" s="29" t="n"/>
    </row>
    <row r="195">
      <c r="A195" s="31" t="n"/>
      <c r="B195" s="29" t="n"/>
      <c r="C195" s="29" t="n"/>
      <c r="D195" s="29" t="n"/>
      <c r="E195" s="29" t="n"/>
      <c r="F195" s="29" t="n"/>
      <c r="G195" s="29" t="n"/>
      <c r="H195" s="34" t="n"/>
      <c r="I195" s="29" t="n"/>
    </row>
    <row r="196">
      <c r="A196" s="31" t="n"/>
      <c r="B196" s="29" t="n"/>
      <c r="C196" s="29" t="n"/>
      <c r="D196" s="29" t="n"/>
      <c r="E196" s="29" t="n"/>
      <c r="F196" s="29" t="n"/>
      <c r="G196" s="29" t="n"/>
      <c r="H196" s="34" t="n"/>
      <c r="I196" s="29" t="n"/>
    </row>
    <row r="197">
      <c r="A197" s="31" t="n"/>
      <c r="B197" s="29" t="n"/>
      <c r="C197" s="29" t="n"/>
      <c r="D197" s="29" t="n"/>
      <c r="E197" s="29" t="n"/>
      <c r="F197" s="29" t="n"/>
      <c r="G197" s="29" t="n"/>
      <c r="H197" s="34" t="n"/>
      <c r="I197" s="29" t="n"/>
    </row>
    <row r="198">
      <c r="A198" s="31" t="n"/>
      <c r="B198" s="29" t="n"/>
      <c r="C198" s="29" t="n"/>
      <c r="D198" s="29" t="n"/>
      <c r="E198" s="29" t="n"/>
      <c r="F198" s="29" t="n"/>
      <c r="G198" s="29" t="n"/>
      <c r="H198" s="34" t="n"/>
      <c r="I198" s="29" t="n"/>
    </row>
    <row r="199">
      <c r="A199" s="31" t="n"/>
      <c r="B199" s="29" t="n"/>
      <c r="C199" s="29" t="n"/>
      <c r="D199" s="29" t="n"/>
      <c r="E199" s="29" t="n"/>
      <c r="F199" s="29" t="n"/>
      <c r="G199" s="29" t="n"/>
      <c r="H199" s="34" t="n"/>
      <c r="I199" s="29" t="n"/>
    </row>
    <row r="200">
      <c r="A200" s="31" t="n"/>
      <c r="B200" s="29" t="n"/>
      <c r="C200" s="29" t="n"/>
      <c r="D200" s="29" t="n"/>
      <c r="E200" s="29" t="n"/>
      <c r="F200" s="29" t="n"/>
      <c r="G200" s="29" t="n"/>
      <c r="H200" s="34" t="n"/>
      <c r="I200" s="29" t="n"/>
    </row>
    <row r="201">
      <c r="A201" s="31" t="n"/>
      <c r="B201" s="29" t="n"/>
      <c r="C201" s="29" t="n"/>
      <c r="D201" s="29" t="n"/>
      <c r="E201" s="29" t="n"/>
      <c r="F201" s="29" t="n"/>
      <c r="G201" s="29" t="n"/>
      <c r="H201" s="34" t="n"/>
      <c r="I201" s="29" t="n"/>
    </row>
    <row r="202">
      <c r="A202" s="31" t="n"/>
      <c r="B202" s="29" t="n"/>
      <c r="C202" s="29" t="n"/>
      <c r="D202" s="29" t="n"/>
      <c r="E202" s="29" t="n"/>
      <c r="F202" s="29" t="n"/>
      <c r="G202" s="29" t="n"/>
      <c r="H202" s="34" t="n"/>
      <c r="I202" s="29" t="n"/>
    </row>
    <row r="203">
      <c r="A203" s="31" t="n"/>
      <c r="B203" s="29" t="n"/>
      <c r="C203" s="29" t="n"/>
      <c r="D203" s="29" t="n"/>
      <c r="E203" s="29" t="n"/>
      <c r="F203" s="29" t="n"/>
      <c r="G203" s="29" t="n"/>
      <c r="H203" s="34" t="n"/>
      <c r="I203" s="29" t="n"/>
    </row>
    <row r="204">
      <c r="A204" s="31" t="n"/>
      <c r="B204" s="29" t="n"/>
      <c r="C204" s="29" t="n"/>
      <c r="D204" s="29" t="n"/>
      <c r="E204" s="29" t="n"/>
      <c r="F204" s="29" t="n"/>
      <c r="G204" s="29" t="n"/>
      <c r="H204" s="34" t="n"/>
      <c r="I204" s="29" t="n"/>
    </row>
    <row r="205">
      <c r="A205" s="31" t="n"/>
      <c r="B205" s="29" t="n"/>
      <c r="C205" s="29" t="n"/>
      <c r="D205" s="29" t="n"/>
      <c r="E205" s="29" t="n"/>
      <c r="F205" s="29" t="n"/>
      <c r="G205" s="29" t="n"/>
      <c r="H205" s="34" t="n"/>
      <c r="I205" s="29" t="n"/>
    </row>
    <row r="206">
      <c r="A206" s="31" t="n"/>
      <c r="B206" s="29" t="n"/>
      <c r="C206" s="29" t="n"/>
      <c r="D206" s="29" t="n"/>
      <c r="E206" s="29" t="n"/>
      <c r="F206" s="29" t="n"/>
      <c r="G206" s="29" t="n"/>
      <c r="H206" s="34" t="n"/>
      <c r="I206" s="29" t="n"/>
    </row>
    <row r="207">
      <c r="A207" s="31" t="n"/>
      <c r="B207" s="29" t="n"/>
      <c r="C207" s="29" t="n"/>
      <c r="D207" s="29" t="n"/>
      <c r="E207" s="29" t="n"/>
      <c r="F207" s="29" t="n"/>
      <c r="G207" s="29" t="n"/>
      <c r="H207" s="34" t="n"/>
      <c r="I207" s="29" t="n"/>
    </row>
    <row r="208">
      <c r="A208" s="31" t="n"/>
      <c r="B208" s="29" t="n"/>
      <c r="C208" s="29" t="n"/>
      <c r="D208" s="29" t="n"/>
      <c r="E208" s="29" t="n"/>
      <c r="F208" s="29" t="n"/>
      <c r="G208" s="29" t="n"/>
      <c r="H208" s="34" t="n"/>
      <c r="I208" s="29" t="n"/>
    </row>
    <row r="209">
      <c r="A209" s="31" t="n"/>
      <c r="B209" s="29" t="n"/>
      <c r="C209" s="29" t="n"/>
      <c r="D209" s="29" t="n"/>
      <c r="E209" s="29" t="n"/>
      <c r="F209" s="29" t="n"/>
      <c r="G209" s="29" t="n"/>
      <c r="H209" s="34" t="n"/>
      <c r="I209" s="29" t="n"/>
    </row>
    <row r="210">
      <c r="A210" s="31" t="n"/>
      <c r="B210" s="29" t="n"/>
      <c r="C210" s="29" t="n"/>
      <c r="D210" s="29" t="n"/>
      <c r="E210" s="29" t="n"/>
      <c r="F210" s="29" t="n"/>
      <c r="G210" s="29" t="n"/>
      <c r="H210" s="34" t="n"/>
      <c r="I210" s="29" t="n"/>
    </row>
    <row r="211">
      <c r="A211" s="31" t="n"/>
      <c r="B211" s="29" t="n"/>
      <c r="C211" s="29" t="n"/>
      <c r="D211" s="29" t="n"/>
      <c r="E211" s="29" t="n"/>
      <c r="F211" s="29" t="n"/>
      <c r="G211" s="29" t="n"/>
      <c r="H211" s="34" t="n"/>
      <c r="I211" s="29" t="n"/>
    </row>
    <row r="212">
      <c r="A212" s="31" t="n"/>
      <c r="B212" s="29" t="n"/>
      <c r="C212" s="29" t="n"/>
      <c r="D212" s="29" t="n"/>
      <c r="E212" s="29" t="n"/>
      <c r="F212" s="29" t="n"/>
      <c r="G212" s="29" t="n"/>
      <c r="H212" s="34" t="n"/>
      <c r="I212" s="29" t="n"/>
    </row>
    <row r="213">
      <c r="A213" s="31" t="n"/>
      <c r="B213" s="29" t="n"/>
      <c r="C213" s="29" t="n"/>
      <c r="D213" s="29" t="n"/>
      <c r="E213" s="29" t="n"/>
      <c r="F213" s="29" t="n"/>
      <c r="G213" s="29" t="n"/>
      <c r="H213" s="34" t="n"/>
      <c r="I213" s="29" t="n"/>
    </row>
    <row r="214">
      <c r="A214" s="31" t="n"/>
      <c r="B214" s="29" t="n"/>
      <c r="C214" s="29" t="n"/>
      <c r="D214" s="29" t="n"/>
      <c r="E214" s="29" t="n"/>
      <c r="F214" s="29" t="n"/>
      <c r="G214" s="29" t="n"/>
      <c r="H214" s="34" t="n"/>
      <c r="I214" s="29" t="n"/>
    </row>
    <row r="215">
      <c r="A215" s="31" t="n"/>
      <c r="B215" s="29" t="n"/>
      <c r="C215" s="29" t="n"/>
      <c r="D215" s="29" t="n"/>
      <c r="E215" s="29" t="n"/>
      <c r="F215" s="29" t="n"/>
      <c r="G215" s="29" t="n"/>
      <c r="H215" s="34" t="n"/>
      <c r="I215" s="29" t="n"/>
    </row>
    <row r="216">
      <c r="A216" s="31" t="n"/>
      <c r="B216" s="29" t="n"/>
      <c r="C216" s="29" t="n"/>
      <c r="D216" s="29" t="n"/>
      <c r="E216" s="29" t="n"/>
      <c r="F216" s="29" t="n"/>
      <c r="G216" s="29" t="n"/>
      <c r="H216" s="34" t="n"/>
      <c r="I216" s="29" t="n"/>
    </row>
    <row r="217">
      <c r="A217" s="31" t="n"/>
      <c r="B217" s="29" t="n"/>
      <c r="C217" s="29" t="n"/>
      <c r="D217" s="29" t="n"/>
      <c r="E217" s="29" t="n"/>
      <c r="F217" s="29" t="n"/>
      <c r="G217" s="29" t="n"/>
      <c r="H217" s="34" t="n"/>
      <c r="I217" s="29" t="n"/>
    </row>
    <row r="218">
      <c r="A218" s="31" t="n"/>
      <c r="B218" s="29" t="n"/>
      <c r="C218" s="29" t="n"/>
      <c r="D218" s="29" t="n"/>
      <c r="E218" s="29" t="n"/>
      <c r="F218" s="29" t="n"/>
      <c r="G218" s="29" t="n"/>
      <c r="H218" s="34" t="n"/>
      <c r="I218" s="29" t="n"/>
    </row>
    <row r="219">
      <c r="A219" s="31" t="n"/>
      <c r="B219" s="29" t="n"/>
      <c r="C219" s="29" t="n"/>
      <c r="D219" s="29" t="n"/>
      <c r="E219" s="29" t="n"/>
      <c r="F219" s="29" t="n"/>
      <c r="G219" s="29" t="n"/>
      <c r="H219" s="34" t="n"/>
      <c r="I219" s="29" t="n"/>
    </row>
    <row r="220">
      <c r="A220" s="31" t="n"/>
      <c r="B220" s="29" t="n"/>
      <c r="C220" s="29" t="n"/>
      <c r="D220" s="29" t="n"/>
      <c r="E220" s="29" t="n"/>
      <c r="F220" s="29" t="n"/>
      <c r="G220" s="29" t="n"/>
      <c r="H220" s="34" t="n"/>
      <c r="I220" s="29" t="n"/>
    </row>
    <row r="221">
      <c r="A221" s="31" t="n"/>
      <c r="B221" s="29" t="n"/>
      <c r="C221" s="29" t="n"/>
      <c r="D221" s="29" t="n"/>
      <c r="E221" s="29" t="n"/>
      <c r="F221" s="29" t="n"/>
      <c r="G221" s="29" t="n"/>
      <c r="H221" s="34" t="n"/>
      <c r="I221" s="29" t="n"/>
    </row>
    <row r="222">
      <c r="A222" s="31" t="n"/>
      <c r="B222" s="29" t="n"/>
      <c r="C222" s="29" t="n"/>
      <c r="D222" s="29" t="n"/>
      <c r="E222" s="29" t="n"/>
      <c r="F222" s="29" t="n"/>
      <c r="G222" s="29" t="n"/>
      <c r="H222" s="34" t="n"/>
      <c r="I222" s="29" t="n"/>
    </row>
    <row r="223">
      <c r="A223" s="31" t="n"/>
      <c r="B223" s="29" t="n"/>
      <c r="C223" s="29" t="n"/>
      <c r="D223" s="29" t="n"/>
      <c r="E223" s="29" t="n"/>
      <c r="F223" s="29" t="n"/>
      <c r="G223" s="29" t="n"/>
      <c r="H223" s="34" t="n"/>
      <c r="I223" s="29" t="n"/>
    </row>
    <row r="224">
      <c r="A224" s="31" t="n"/>
      <c r="B224" s="29" t="n"/>
      <c r="C224" s="29" t="n"/>
      <c r="D224" s="29" t="n"/>
      <c r="E224" s="29" t="n"/>
      <c r="F224" s="29" t="n"/>
      <c r="G224" s="29" t="n"/>
      <c r="H224" s="34" t="n"/>
      <c r="I224" s="29" t="n"/>
    </row>
    <row r="225">
      <c r="A225" s="31" t="n"/>
      <c r="B225" s="29" t="n"/>
      <c r="C225" s="29" t="n"/>
      <c r="D225" s="29" t="n"/>
      <c r="E225" s="29" t="n"/>
      <c r="F225" s="29" t="n"/>
      <c r="G225" s="29" t="n"/>
      <c r="H225" s="34" t="n"/>
      <c r="I225" s="29" t="n"/>
    </row>
    <row r="226">
      <c r="A226" s="31" t="n"/>
      <c r="B226" s="29" t="n"/>
      <c r="C226" s="29" t="n"/>
      <c r="D226" s="29" t="n"/>
      <c r="E226" s="29" t="n"/>
      <c r="F226" s="29" t="n"/>
      <c r="G226" s="29" t="n"/>
      <c r="H226" s="34" t="n"/>
      <c r="I226" s="29" t="n"/>
    </row>
    <row r="227">
      <c r="A227" s="31" t="n"/>
      <c r="B227" s="29" t="n"/>
      <c r="C227" s="29" t="n"/>
      <c r="D227" s="29" t="n"/>
      <c r="E227" s="29" t="n"/>
      <c r="F227" s="29" t="n"/>
      <c r="G227" s="29" t="n"/>
      <c r="H227" s="34" t="n"/>
      <c r="I227" s="29" t="n"/>
    </row>
    <row r="228">
      <c r="A228" s="31" t="n"/>
      <c r="B228" s="29" t="n"/>
      <c r="C228" s="29" t="n"/>
      <c r="D228" s="29" t="n"/>
      <c r="E228" s="29" t="n"/>
      <c r="F228" s="29" t="n"/>
      <c r="G228" s="29" t="n"/>
      <c r="H228" s="34" t="n"/>
      <c r="I228" s="29" t="n"/>
    </row>
    <row r="229">
      <c r="A229" s="31" t="n"/>
      <c r="B229" s="29" t="n"/>
      <c r="C229" s="29" t="n"/>
      <c r="D229" s="29" t="n"/>
      <c r="E229" s="29" t="n"/>
      <c r="F229" s="29" t="n"/>
      <c r="G229" s="29" t="n"/>
      <c r="H229" s="34" t="n"/>
      <c r="I229" s="29" t="n"/>
    </row>
    <row r="230">
      <c r="A230" s="31" t="n"/>
      <c r="B230" s="29" t="n"/>
      <c r="C230" s="29" t="n"/>
      <c r="D230" s="29" t="n"/>
      <c r="E230" s="29" t="n"/>
      <c r="F230" s="29" t="n"/>
      <c r="G230" s="29" t="n"/>
      <c r="H230" s="34" t="n"/>
      <c r="I230" s="29" t="n"/>
    </row>
    <row r="231">
      <c r="A231" s="31" t="n"/>
      <c r="B231" s="29" t="n"/>
      <c r="C231" s="29" t="n"/>
      <c r="D231" s="29" t="n"/>
      <c r="E231" s="29" t="n"/>
      <c r="F231" s="29" t="n"/>
      <c r="G231" s="29" t="n"/>
      <c r="H231" s="34" t="n"/>
      <c r="I231" s="29" t="n"/>
    </row>
    <row r="232">
      <c r="A232" s="31" t="n"/>
      <c r="B232" s="29" t="n"/>
      <c r="C232" s="29" t="n"/>
      <c r="D232" s="29" t="n"/>
      <c r="E232" s="29" t="n"/>
      <c r="F232" s="29" t="n"/>
      <c r="G232" s="29" t="n"/>
      <c r="H232" s="34" t="n"/>
      <c r="I232" s="29" t="n"/>
    </row>
    <row r="233">
      <c r="A233" s="31" t="n"/>
      <c r="B233" s="29" t="n"/>
      <c r="C233" s="29" t="n"/>
      <c r="D233" s="29" t="n"/>
      <c r="E233" s="29" t="n"/>
      <c r="F233" s="29" t="n"/>
      <c r="G233" s="29" t="n"/>
      <c r="H233" s="34" t="n"/>
      <c r="I233" s="29" t="n"/>
    </row>
    <row r="234">
      <c r="A234" s="31" t="n"/>
      <c r="B234" s="29" t="n"/>
      <c r="C234" s="29" t="n"/>
      <c r="D234" s="29" t="n"/>
      <c r="E234" s="29" t="n"/>
      <c r="F234" s="29" t="n"/>
      <c r="G234" s="29" t="n"/>
      <c r="H234" s="34" t="n"/>
      <c r="I234" s="29" t="n"/>
    </row>
    <row r="235">
      <c r="A235" s="31" t="n"/>
      <c r="B235" s="29" t="n"/>
      <c r="C235" s="29" t="n"/>
      <c r="D235" s="29" t="n"/>
      <c r="E235" s="29" t="n"/>
      <c r="F235" s="29" t="n"/>
      <c r="G235" s="29" t="n"/>
      <c r="H235" s="34" t="n"/>
      <c r="I235" s="29" t="n"/>
    </row>
    <row r="236">
      <c r="A236" s="31" t="n"/>
      <c r="B236" s="29" t="n"/>
      <c r="C236" s="29" t="n"/>
      <c r="D236" s="29" t="n"/>
      <c r="E236" s="29" t="n"/>
      <c r="F236" s="29" t="n"/>
      <c r="G236" s="29" t="n"/>
      <c r="H236" s="34" t="n"/>
      <c r="I236" s="29" t="n"/>
    </row>
    <row r="237">
      <c r="A237" s="31" t="n"/>
      <c r="B237" s="29" t="n"/>
      <c r="C237" s="29" t="n"/>
      <c r="D237" s="29" t="n"/>
      <c r="E237" s="29" t="n"/>
      <c r="F237" s="29" t="n"/>
      <c r="G237" s="29" t="n"/>
      <c r="H237" s="34" t="n"/>
      <c r="I237" s="29" t="n"/>
    </row>
    <row r="238">
      <c r="A238" s="31" t="n"/>
      <c r="B238" s="29" t="n"/>
      <c r="C238" s="29" t="n"/>
      <c r="D238" s="29" t="n"/>
      <c r="E238" s="29" t="n"/>
      <c r="F238" s="29" t="n"/>
      <c r="G238" s="29" t="n"/>
      <c r="H238" s="34" t="n"/>
      <c r="I238" s="29" t="n"/>
    </row>
    <row r="239">
      <c r="A239" s="31" t="n"/>
      <c r="B239" s="29" t="n"/>
      <c r="C239" s="29" t="n"/>
      <c r="D239" s="29" t="n"/>
      <c r="E239" s="29" t="n"/>
      <c r="F239" s="29" t="n"/>
      <c r="G239" s="29" t="n"/>
      <c r="H239" s="34" t="n"/>
      <c r="I239" s="29" t="n"/>
    </row>
    <row r="240">
      <c r="A240" s="31" t="n"/>
      <c r="B240" s="29" t="n"/>
      <c r="C240" s="29" t="n"/>
      <c r="D240" s="29" t="n"/>
      <c r="E240" s="29" t="n"/>
      <c r="F240" s="29" t="n"/>
      <c r="G240" s="29" t="n"/>
      <c r="H240" s="34" t="n"/>
      <c r="I240" s="29" t="n"/>
    </row>
    <row r="241">
      <c r="A241" s="31" t="n"/>
      <c r="B241" s="29" t="n"/>
      <c r="C241" s="29" t="n"/>
      <c r="D241" s="29" t="n"/>
      <c r="E241" s="29" t="n"/>
      <c r="F241" s="29" t="n"/>
      <c r="G241" s="29" t="n"/>
      <c r="H241" s="34" t="n"/>
      <c r="I241" s="29" t="n"/>
    </row>
    <row r="242">
      <c r="A242" s="31" t="n"/>
      <c r="B242" s="29" t="n"/>
      <c r="C242" s="29" t="n"/>
      <c r="D242" s="29" t="n"/>
      <c r="E242" s="29" t="n"/>
      <c r="F242" s="29" t="n"/>
      <c r="G242" s="29" t="n"/>
      <c r="H242" s="34" t="n"/>
      <c r="I242" s="29" t="n"/>
    </row>
    <row r="243">
      <c r="A243" s="31" t="n"/>
      <c r="B243" s="29" t="n"/>
      <c r="C243" s="29" t="n"/>
      <c r="D243" s="29" t="n"/>
      <c r="E243" s="29" t="n"/>
      <c r="F243" s="29" t="n"/>
      <c r="G243" s="29" t="n"/>
      <c r="H243" s="34" t="n"/>
      <c r="I243" s="29" t="n"/>
    </row>
    <row r="244">
      <c r="A244" s="31" t="n"/>
      <c r="B244" s="29" t="n"/>
      <c r="C244" s="29" t="n"/>
      <c r="D244" s="29" t="n"/>
      <c r="E244" s="29" t="n"/>
      <c r="F244" s="29" t="n"/>
      <c r="G244" s="29" t="n"/>
      <c r="H244" s="34" t="n"/>
      <c r="I244" s="29" t="n"/>
    </row>
    <row r="245">
      <c r="A245" s="31" t="n"/>
      <c r="B245" s="29" t="n"/>
      <c r="C245" s="29" t="n"/>
      <c r="D245" s="29" t="n"/>
      <c r="E245" s="29" t="n"/>
      <c r="F245" s="29" t="n"/>
      <c r="G245" s="29" t="n"/>
      <c r="H245" s="34" t="n"/>
      <c r="I245" s="29" t="n"/>
    </row>
    <row r="246">
      <c r="A246" s="31" t="n"/>
      <c r="B246" s="29" t="n"/>
      <c r="C246" s="29" t="n"/>
      <c r="D246" s="29" t="n"/>
      <c r="E246" s="29" t="n"/>
      <c r="F246" s="29" t="n"/>
      <c r="G246" s="29" t="n"/>
      <c r="H246" s="34" t="n"/>
      <c r="I246" s="29" t="n"/>
    </row>
    <row r="247">
      <c r="A247" s="31" t="n"/>
      <c r="B247" s="29" t="n"/>
      <c r="C247" s="29" t="n"/>
      <c r="D247" s="29" t="n"/>
      <c r="E247" s="29" t="n"/>
      <c r="F247" s="29" t="n"/>
      <c r="G247" s="29" t="n"/>
      <c r="H247" s="34" t="n"/>
      <c r="I247" s="29" t="n"/>
    </row>
    <row r="248">
      <c r="A248" s="31" t="n"/>
      <c r="B248" s="29" t="n"/>
      <c r="C248" s="29" t="n"/>
      <c r="D248" s="29" t="n"/>
      <c r="E248" s="29" t="n"/>
      <c r="F248" s="29" t="n"/>
      <c r="G248" s="29" t="n"/>
      <c r="H248" s="34" t="n"/>
      <c r="I248" s="29" t="n"/>
    </row>
    <row r="249">
      <c r="A249" s="31" t="n"/>
      <c r="B249" s="29" t="n"/>
      <c r="C249" s="29" t="n"/>
      <c r="D249" s="29" t="n"/>
      <c r="E249" s="29" t="n"/>
      <c r="F249" s="29" t="n"/>
      <c r="G249" s="29" t="n"/>
      <c r="H249" s="34" t="n"/>
      <c r="I249" s="29" t="n"/>
    </row>
    <row r="250">
      <c r="A250" s="31" t="n"/>
      <c r="B250" s="29" t="n"/>
      <c r="C250" s="29" t="n"/>
      <c r="D250" s="29" t="n"/>
      <c r="E250" s="29" t="n"/>
      <c r="F250" s="29" t="n"/>
      <c r="G250" s="29" t="n"/>
      <c r="H250" s="34" t="n"/>
      <c r="I250" s="29" t="n"/>
    </row>
    <row r="251">
      <c r="A251" s="31" t="n"/>
      <c r="B251" s="29" t="n"/>
      <c r="C251" s="29" t="n"/>
      <c r="D251" s="29" t="n"/>
      <c r="E251" s="29" t="n"/>
      <c r="F251" s="29" t="n"/>
      <c r="G251" s="29" t="n"/>
      <c r="H251" s="34" t="n"/>
      <c r="I251" s="29" t="n"/>
    </row>
    <row r="252">
      <c r="A252" s="31" t="n"/>
      <c r="B252" s="29" t="n"/>
      <c r="C252" s="29" t="n"/>
      <c r="D252" s="29" t="n"/>
      <c r="E252" s="29" t="n"/>
      <c r="F252" s="29" t="n"/>
      <c r="G252" s="29" t="n"/>
      <c r="H252" s="34" t="n"/>
      <c r="I252" s="29" t="n"/>
    </row>
    <row r="253">
      <c r="A253" s="31" t="n"/>
      <c r="B253" s="29" t="n"/>
      <c r="C253" s="29" t="n"/>
      <c r="D253" s="29" t="n"/>
      <c r="E253" s="29" t="n"/>
      <c r="F253" s="29" t="n"/>
      <c r="G253" s="29" t="n"/>
      <c r="H253" s="34" t="n"/>
      <c r="I253" s="29" t="n"/>
    </row>
    <row r="254">
      <c r="A254" s="31" t="n"/>
      <c r="B254" s="29" t="n"/>
      <c r="C254" s="29" t="n"/>
      <c r="D254" s="29" t="n"/>
      <c r="E254" s="29" t="n"/>
      <c r="F254" s="29" t="n"/>
      <c r="G254" s="29" t="n"/>
      <c r="H254" s="34" t="n"/>
      <c r="I254" s="29" t="n"/>
    </row>
    <row r="255">
      <c r="A255" s="31" t="n"/>
      <c r="B255" s="29" t="n"/>
      <c r="C255" s="29" t="n"/>
      <c r="D255" s="29" t="n"/>
      <c r="E255" s="29" t="n"/>
      <c r="F255" s="29" t="n"/>
      <c r="G255" s="29" t="n"/>
      <c r="H255" s="34" t="n"/>
      <c r="I255" s="29" t="n"/>
    </row>
    <row r="256">
      <c r="A256" s="31" t="n"/>
      <c r="B256" s="29" t="n"/>
      <c r="C256" s="29" t="n"/>
      <c r="D256" s="29" t="n"/>
      <c r="E256" s="29" t="n"/>
      <c r="F256" s="29" t="n"/>
      <c r="G256" s="29" t="n"/>
      <c r="H256" s="34" t="n"/>
      <c r="I256" s="29" t="n"/>
    </row>
    <row r="257">
      <c r="A257" s="31" t="n"/>
      <c r="B257" s="29" t="n"/>
      <c r="C257" s="29" t="n"/>
      <c r="D257" s="29" t="n"/>
      <c r="E257" s="29" t="n"/>
      <c r="F257" s="29" t="n"/>
      <c r="G257" s="29" t="n"/>
      <c r="H257" s="34" t="n"/>
      <c r="I257" s="29" t="n"/>
    </row>
    <row r="258">
      <c r="A258" s="31" t="n"/>
      <c r="B258" s="29" t="n"/>
      <c r="C258" s="29" t="n"/>
      <c r="D258" s="29" t="n"/>
      <c r="E258" s="29" t="n"/>
      <c r="F258" s="29" t="n"/>
      <c r="G258" s="29" t="n"/>
      <c r="H258" s="34" t="n"/>
      <c r="I258" s="29" t="n"/>
    </row>
    <row r="259">
      <c r="A259" s="31" t="n"/>
      <c r="B259" s="29" t="n"/>
      <c r="C259" s="29" t="n"/>
      <c r="D259" s="29" t="n"/>
      <c r="E259" s="29" t="n"/>
      <c r="F259" s="29" t="n"/>
      <c r="G259" s="29" t="n"/>
      <c r="H259" s="34" t="n"/>
      <c r="I259" s="29" t="n"/>
    </row>
    <row r="260">
      <c r="A260" s="31" t="n"/>
      <c r="B260" s="29" t="n"/>
      <c r="C260" s="29" t="n"/>
      <c r="D260" s="29" t="n"/>
      <c r="E260" s="29" t="n"/>
      <c r="F260" s="29" t="n"/>
      <c r="G260" s="29" t="n"/>
      <c r="H260" s="34" t="n"/>
      <c r="I260" s="29" t="n"/>
    </row>
    <row r="261">
      <c r="A261" s="31" t="n"/>
      <c r="B261" s="29" t="n"/>
      <c r="C261" s="29" t="n"/>
      <c r="D261" s="29" t="n"/>
      <c r="E261" s="29" t="n"/>
      <c r="F261" s="29" t="n"/>
      <c r="G261" s="29" t="n"/>
      <c r="H261" s="34" t="n"/>
      <c r="I261" s="29" t="n"/>
    </row>
    <row r="262">
      <c r="A262" s="31" t="n"/>
      <c r="B262" s="29" t="n"/>
      <c r="C262" s="29" t="n"/>
      <c r="D262" s="29" t="n"/>
      <c r="E262" s="29" t="n"/>
      <c r="F262" s="29" t="n"/>
      <c r="G262" s="29" t="n"/>
      <c r="H262" s="34" t="n"/>
      <c r="I262" s="29" t="n"/>
    </row>
    <row r="263">
      <c r="A263" s="31" t="n"/>
      <c r="B263" s="29" t="n"/>
      <c r="C263" s="29" t="n"/>
      <c r="D263" s="29" t="n"/>
      <c r="E263" s="29" t="n"/>
      <c r="F263" s="29" t="n"/>
      <c r="G263" s="29" t="n"/>
      <c r="H263" s="34" t="n"/>
      <c r="I263" s="29" t="n"/>
    </row>
    <row r="264">
      <c r="A264" s="31" t="n"/>
      <c r="B264" s="29" t="n"/>
      <c r="C264" s="29" t="n"/>
      <c r="D264" s="29" t="n"/>
      <c r="E264" s="29" t="n"/>
      <c r="F264" s="29" t="n"/>
      <c r="G264" s="29" t="n"/>
      <c r="H264" s="34" t="n"/>
      <c r="I264" s="29" t="n"/>
    </row>
    <row r="265">
      <c r="A265" s="31" t="n"/>
      <c r="B265" s="29" t="n"/>
      <c r="C265" s="29" t="n"/>
      <c r="D265" s="29" t="n"/>
      <c r="E265" s="29" t="n"/>
      <c r="F265" s="29" t="n"/>
      <c r="G265" s="29" t="n"/>
      <c r="H265" s="34" t="n"/>
      <c r="I265" s="29" t="n"/>
    </row>
    <row r="266">
      <c r="A266" s="31" t="n"/>
      <c r="B266" s="29" t="n"/>
      <c r="C266" s="29" t="n"/>
      <c r="D266" s="29" t="n"/>
      <c r="E266" s="29" t="n"/>
      <c r="F266" s="29" t="n"/>
      <c r="G266" s="29" t="n"/>
      <c r="H266" s="34" t="n"/>
      <c r="I266" s="29" t="n"/>
    </row>
    <row r="267">
      <c r="A267" s="31" t="n"/>
      <c r="B267" s="29" t="n"/>
      <c r="C267" s="29" t="n"/>
      <c r="D267" s="29" t="n"/>
      <c r="E267" s="29" t="n"/>
      <c r="F267" s="29" t="n"/>
      <c r="G267" s="29" t="n"/>
      <c r="H267" s="34" t="n"/>
      <c r="I267" s="29" t="n"/>
    </row>
    <row r="268">
      <c r="A268" s="31" t="n"/>
      <c r="B268" s="29" t="n"/>
      <c r="C268" s="29" t="n"/>
      <c r="D268" s="29" t="n"/>
      <c r="E268" s="29" t="n"/>
      <c r="F268" s="29" t="n"/>
      <c r="G268" s="29" t="n"/>
      <c r="H268" s="34" t="n"/>
      <c r="I268" s="29" t="n"/>
    </row>
    <row r="269">
      <c r="A269" s="31" t="n"/>
      <c r="B269" s="29" t="n"/>
      <c r="C269" s="29" t="n"/>
      <c r="D269" s="29" t="n"/>
      <c r="E269" s="29" t="n"/>
      <c r="F269" s="29" t="n"/>
      <c r="G269" s="29" t="n"/>
      <c r="H269" s="34" t="n"/>
      <c r="I269" s="29" t="n"/>
    </row>
    <row r="270">
      <c r="A270" s="31" t="n"/>
      <c r="B270" s="29" t="n"/>
      <c r="C270" s="29" t="n"/>
      <c r="D270" s="29" t="n"/>
      <c r="E270" s="29" t="n"/>
      <c r="F270" s="29" t="n"/>
      <c r="G270" s="29" t="n"/>
      <c r="H270" s="34" t="n"/>
      <c r="I270" s="29" t="n"/>
    </row>
    <row r="271">
      <c r="A271" s="31" t="n"/>
      <c r="B271" s="29" t="n"/>
      <c r="C271" s="29" t="n"/>
      <c r="D271" s="29" t="n"/>
      <c r="E271" s="29" t="n"/>
      <c r="F271" s="29" t="n"/>
      <c r="G271" s="29" t="n"/>
      <c r="H271" s="34" t="n"/>
      <c r="I271" s="29" t="n"/>
    </row>
    <row r="272">
      <c r="A272" s="31" t="n"/>
      <c r="B272" s="29" t="n"/>
      <c r="C272" s="29" t="n"/>
      <c r="D272" s="29" t="n"/>
      <c r="E272" s="29" t="n"/>
      <c r="F272" s="29" t="n"/>
      <c r="G272" s="29" t="n"/>
      <c r="H272" s="34" t="n"/>
      <c r="I272" s="29" t="n"/>
    </row>
    <row r="273">
      <c r="A273" s="31" t="n"/>
      <c r="B273" s="29" t="n"/>
      <c r="C273" s="29" t="n"/>
      <c r="D273" s="29" t="n"/>
      <c r="E273" s="29" t="n"/>
      <c r="F273" s="29" t="n"/>
      <c r="G273" s="29" t="n"/>
      <c r="H273" s="34" t="n"/>
      <c r="I273" s="29" t="n"/>
    </row>
    <row r="274">
      <c r="A274" s="31" t="n"/>
      <c r="B274" s="29" t="n"/>
      <c r="C274" s="29" t="n"/>
      <c r="D274" s="29" t="n"/>
      <c r="E274" s="29" t="n"/>
      <c r="F274" s="29" t="n"/>
      <c r="G274" s="29" t="n"/>
      <c r="H274" s="34" t="n"/>
      <c r="I274" s="29" t="n"/>
    </row>
    <row r="275">
      <c r="A275" s="31" t="n"/>
      <c r="B275" s="29" t="n"/>
      <c r="C275" s="29" t="n"/>
      <c r="D275" s="29" t="n"/>
      <c r="E275" s="29" t="n"/>
      <c r="F275" s="29" t="n"/>
      <c r="G275" s="29" t="n"/>
      <c r="H275" s="34" t="n"/>
      <c r="I275" s="29" t="n"/>
    </row>
    <row r="276">
      <c r="A276" s="31" t="n"/>
      <c r="B276" s="29" t="n"/>
      <c r="C276" s="29" t="n"/>
      <c r="D276" s="29" t="n"/>
      <c r="E276" s="29" t="n"/>
      <c r="F276" s="29" t="n"/>
      <c r="G276" s="29" t="n"/>
      <c r="H276" s="34" t="n"/>
      <c r="I276" s="29" t="n"/>
    </row>
    <row r="277">
      <c r="A277" s="31" t="n"/>
      <c r="B277" s="29" t="n"/>
      <c r="C277" s="29" t="n"/>
      <c r="D277" s="29" t="n"/>
      <c r="E277" s="29" t="n"/>
      <c r="F277" s="29" t="n"/>
      <c r="G277" s="29" t="n"/>
      <c r="H277" s="34" t="n"/>
      <c r="I277" s="29" t="n"/>
    </row>
    <row r="278">
      <c r="A278" s="31" t="n"/>
      <c r="B278" s="29" t="n"/>
      <c r="C278" s="29" t="n"/>
      <c r="D278" s="29" t="n"/>
      <c r="E278" s="29" t="n"/>
      <c r="F278" s="29" t="n"/>
      <c r="G278" s="29" t="n"/>
      <c r="H278" s="34" t="n"/>
      <c r="I278" s="29" t="n"/>
    </row>
    <row r="279">
      <c r="A279" s="31" t="n"/>
      <c r="B279" s="29" t="n"/>
      <c r="C279" s="29" t="n"/>
      <c r="D279" s="29" t="n"/>
      <c r="E279" s="29" t="n"/>
      <c r="F279" s="29" t="n"/>
      <c r="G279" s="29" t="n"/>
      <c r="H279" s="34" t="n"/>
      <c r="I279" s="29" t="n"/>
    </row>
    <row r="280">
      <c r="A280" s="31" t="n"/>
      <c r="B280" s="29" t="n"/>
      <c r="C280" s="29" t="n"/>
      <c r="D280" s="29" t="n"/>
      <c r="E280" s="29" t="n"/>
      <c r="F280" s="29" t="n"/>
      <c r="G280" s="29" t="n"/>
      <c r="H280" s="34" t="n"/>
      <c r="I280" s="29" t="n"/>
    </row>
    <row r="281">
      <c r="A281" s="31" t="n"/>
      <c r="B281" s="29" t="n"/>
      <c r="C281" s="29" t="n"/>
      <c r="D281" s="29" t="n"/>
      <c r="E281" s="29" t="n"/>
      <c r="F281" s="29" t="n"/>
      <c r="G281" s="29" t="n"/>
      <c r="H281" s="34" t="n"/>
      <c r="I281" s="29" t="n"/>
    </row>
    <row r="282">
      <c r="A282" s="31" t="n"/>
      <c r="B282" s="29" t="n"/>
      <c r="C282" s="29" t="n"/>
      <c r="D282" s="29" t="n"/>
      <c r="E282" s="29" t="n"/>
      <c r="F282" s="29" t="n"/>
      <c r="G282" s="29" t="n"/>
      <c r="H282" s="34" t="n"/>
      <c r="I282" s="29" t="n"/>
    </row>
    <row r="283">
      <c r="A283" s="31" t="n"/>
      <c r="B283" s="29" t="n"/>
      <c r="C283" s="29" t="n"/>
      <c r="D283" s="29" t="n"/>
      <c r="E283" s="29" t="n"/>
      <c r="F283" s="29" t="n"/>
      <c r="G283" s="29" t="n"/>
      <c r="H283" s="34" t="n"/>
      <c r="I283" s="29" t="n"/>
    </row>
    <row r="284">
      <c r="A284" s="31" t="n"/>
      <c r="B284" s="29" t="n"/>
      <c r="C284" s="29" t="n"/>
      <c r="D284" s="29" t="n"/>
      <c r="E284" s="29" t="n"/>
      <c r="F284" s="29" t="n"/>
      <c r="G284" s="29" t="n"/>
      <c r="H284" s="34" t="n"/>
      <c r="I284" s="29" t="n"/>
    </row>
    <row r="285">
      <c r="A285" s="31" t="n"/>
      <c r="B285" s="29" t="n"/>
      <c r="C285" s="29" t="n"/>
      <c r="D285" s="29" t="n"/>
      <c r="E285" s="29" t="n"/>
      <c r="F285" s="29" t="n"/>
      <c r="G285" s="29" t="n"/>
      <c r="H285" s="34" t="n"/>
      <c r="I285" s="29" t="n"/>
    </row>
    <row r="286">
      <c r="A286" s="31" t="n"/>
      <c r="B286" s="29" t="n"/>
      <c r="C286" s="29" t="n"/>
      <c r="D286" s="29" t="n"/>
      <c r="E286" s="29" t="n"/>
      <c r="F286" s="29" t="n"/>
      <c r="G286" s="29" t="n"/>
      <c r="H286" s="34" t="n"/>
      <c r="I286" s="29" t="n"/>
    </row>
    <row r="287">
      <c r="A287" s="31" t="n"/>
      <c r="B287" s="29" t="n"/>
      <c r="C287" s="29" t="n"/>
      <c r="D287" s="29" t="n"/>
      <c r="E287" s="29" t="n"/>
      <c r="F287" s="29" t="n"/>
      <c r="G287" s="29" t="n"/>
      <c r="H287" s="34" t="n"/>
      <c r="I287" s="29" t="n"/>
    </row>
    <row r="288">
      <c r="A288" s="31" t="n"/>
      <c r="B288" s="29" t="n"/>
      <c r="C288" s="29" t="n"/>
      <c r="D288" s="29" t="n"/>
      <c r="E288" s="29" t="n"/>
      <c r="F288" s="29" t="n"/>
      <c r="G288" s="29" t="n"/>
      <c r="H288" s="34" t="n"/>
      <c r="I288" s="29" t="n"/>
    </row>
    <row r="289">
      <c r="A289" s="31" t="n"/>
      <c r="B289" s="29" t="n"/>
      <c r="C289" s="29" t="n"/>
      <c r="D289" s="29" t="n"/>
      <c r="E289" s="29" t="n"/>
      <c r="F289" s="29" t="n"/>
      <c r="G289" s="29" t="n"/>
      <c r="H289" s="34" t="n"/>
      <c r="I289" s="29" t="n"/>
    </row>
    <row r="290">
      <c r="A290" s="31" t="n"/>
      <c r="B290" s="29" t="n"/>
      <c r="C290" s="29" t="n"/>
      <c r="D290" s="29" t="n"/>
      <c r="E290" s="29" t="n"/>
      <c r="F290" s="29" t="n"/>
      <c r="G290" s="29" t="n"/>
      <c r="H290" s="34" t="n"/>
      <c r="I290" s="29" t="n"/>
    </row>
    <row r="291">
      <c r="A291" s="31" t="n"/>
      <c r="B291" s="29" t="n"/>
      <c r="C291" s="29" t="n"/>
      <c r="D291" s="29" t="n"/>
      <c r="E291" s="29" t="n"/>
      <c r="F291" s="29" t="n"/>
      <c r="G291" s="29" t="n"/>
      <c r="H291" s="34" t="n"/>
      <c r="I291" s="29" t="n"/>
    </row>
    <row r="292">
      <c r="A292" s="31" t="n"/>
      <c r="B292" s="29" t="n"/>
      <c r="C292" s="29" t="n"/>
      <c r="D292" s="29" t="n"/>
      <c r="E292" s="29" t="n"/>
      <c r="F292" s="29" t="n"/>
      <c r="G292" s="29" t="n"/>
      <c r="H292" s="34" t="n"/>
      <c r="I292" s="29" t="n"/>
    </row>
    <row r="293">
      <c r="A293" s="31" t="n"/>
      <c r="B293" s="29" t="n"/>
      <c r="C293" s="29" t="n"/>
      <c r="D293" s="29" t="n"/>
      <c r="E293" s="29" t="n"/>
      <c r="F293" s="29" t="n"/>
      <c r="G293" s="29" t="n"/>
      <c r="H293" s="34" t="n"/>
      <c r="I293" s="29" t="n"/>
    </row>
    <row r="294">
      <c r="A294" s="31" t="n"/>
      <c r="B294" s="29" t="n"/>
      <c r="C294" s="29" t="n"/>
      <c r="D294" s="29" t="n"/>
      <c r="E294" s="29" t="n"/>
      <c r="F294" s="29" t="n"/>
      <c r="G294" s="29" t="n"/>
      <c r="H294" s="34" t="n"/>
      <c r="I294" s="29" t="n"/>
    </row>
    <row r="295">
      <c r="A295" s="31" t="n"/>
      <c r="B295" s="29" t="n"/>
      <c r="C295" s="29" t="n"/>
      <c r="D295" s="29" t="n"/>
      <c r="E295" s="29" t="n"/>
      <c r="F295" s="29" t="n"/>
      <c r="G295" s="29" t="n"/>
      <c r="H295" s="34" t="n"/>
      <c r="I295" s="29" t="n"/>
    </row>
    <row r="296">
      <c r="A296" s="31" t="n"/>
      <c r="B296" s="29" t="n"/>
      <c r="C296" s="29" t="n"/>
      <c r="D296" s="29" t="n"/>
      <c r="E296" s="29" t="n"/>
      <c r="F296" s="29" t="n"/>
      <c r="G296" s="29" t="n"/>
      <c r="H296" s="34" t="n"/>
      <c r="I296" s="29" t="n"/>
    </row>
    <row r="297">
      <c r="A297" s="31" t="n"/>
      <c r="B297" s="29" t="n"/>
      <c r="C297" s="29" t="n"/>
      <c r="D297" s="29" t="n"/>
      <c r="E297" s="29" t="n"/>
      <c r="F297" s="29" t="n"/>
      <c r="G297" s="29" t="n"/>
      <c r="H297" s="34" t="n"/>
      <c r="I297" s="29" t="n"/>
    </row>
    <row r="298">
      <c r="A298" s="31" t="n"/>
      <c r="B298" s="29" t="n"/>
      <c r="C298" s="29" t="n"/>
      <c r="D298" s="29" t="n"/>
      <c r="E298" s="29" t="n"/>
      <c r="F298" s="29" t="n"/>
      <c r="G298" s="29" t="n"/>
      <c r="H298" s="34" t="n"/>
      <c r="I298" s="29" t="n"/>
    </row>
    <row r="299">
      <c r="A299" s="31" t="n"/>
      <c r="B299" s="29" t="n"/>
      <c r="C299" s="29" t="n"/>
      <c r="D299" s="29" t="n"/>
      <c r="E299" s="29" t="n"/>
      <c r="F299" s="29" t="n"/>
      <c r="G299" s="29" t="n"/>
      <c r="H299" s="34" t="n"/>
      <c r="I299" s="29" t="n"/>
    </row>
    <row r="300">
      <c r="A300" s="31" t="n"/>
      <c r="B300" s="29" t="n"/>
      <c r="C300" s="29" t="n"/>
      <c r="D300" s="29" t="n"/>
      <c r="E300" s="29" t="n"/>
      <c r="F300" s="29" t="n"/>
      <c r="G300" s="29" t="n"/>
      <c r="H300" s="34" t="n"/>
      <c r="I300" s="29" t="n"/>
    </row>
    <row r="301">
      <c r="A301" s="31" t="n"/>
      <c r="B301" s="29" t="n"/>
      <c r="C301" s="29" t="n"/>
      <c r="D301" s="29" t="n"/>
      <c r="E301" s="29" t="n"/>
      <c r="F301" s="29" t="n"/>
      <c r="G301" s="29" t="n"/>
      <c r="H301" s="34" t="n"/>
      <c r="I301" s="29" t="n"/>
    </row>
    <row r="302">
      <c r="A302" s="31" t="n"/>
      <c r="B302" s="29" t="n"/>
      <c r="C302" s="29" t="n"/>
      <c r="D302" s="29" t="n"/>
      <c r="E302" s="29" t="n"/>
      <c r="F302" s="29" t="n"/>
      <c r="G302" s="29" t="n"/>
      <c r="H302" s="34" t="n"/>
      <c r="I302" s="29" t="n"/>
    </row>
    <row r="303">
      <c r="A303" s="31" t="n"/>
      <c r="B303" s="29" t="n"/>
      <c r="C303" s="29" t="n"/>
      <c r="D303" s="29" t="n"/>
      <c r="E303" s="29" t="n"/>
      <c r="F303" s="29" t="n"/>
      <c r="G303" s="29" t="n"/>
      <c r="H303" s="34" t="n"/>
      <c r="I303" s="29" t="n"/>
    </row>
    <row r="304">
      <c r="A304" s="31" t="n"/>
      <c r="B304" s="29" t="n"/>
      <c r="C304" s="29" t="n"/>
      <c r="D304" s="29" t="n"/>
      <c r="E304" s="29" t="n"/>
      <c r="F304" s="29" t="n"/>
      <c r="G304" s="29" t="n"/>
      <c r="H304" s="34" t="n"/>
      <c r="I304" s="29" t="n"/>
    </row>
    <row r="305">
      <c r="A305" s="31" t="n"/>
      <c r="B305" s="29" t="n"/>
      <c r="C305" s="29" t="n"/>
      <c r="D305" s="29" t="n"/>
      <c r="E305" s="29" t="n"/>
      <c r="F305" s="29" t="n"/>
      <c r="G305" s="29" t="n"/>
      <c r="H305" s="34" t="n"/>
      <c r="I305" s="29" t="n"/>
    </row>
    <row r="306">
      <c r="A306" s="31" t="n"/>
      <c r="B306" s="29" t="n"/>
      <c r="C306" s="29" t="n"/>
      <c r="D306" s="29" t="n"/>
      <c r="E306" s="29" t="n"/>
      <c r="F306" s="29" t="n"/>
      <c r="G306" s="29" t="n"/>
      <c r="H306" s="34" t="n"/>
      <c r="I306" s="29" t="n"/>
    </row>
    <row r="307">
      <c r="A307" s="31" t="n"/>
      <c r="B307" s="29" t="n"/>
      <c r="C307" s="29" t="n"/>
      <c r="D307" s="29" t="n"/>
      <c r="E307" s="29" t="n"/>
      <c r="F307" s="29" t="n"/>
      <c r="G307" s="29" t="n"/>
      <c r="H307" s="34" t="n"/>
      <c r="I307" s="29" t="n"/>
    </row>
    <row r="308">
      <c r="A308" s="31" t="n"/>
      <c r="B308" s="29" t="n"/>
      <c r="C308" s="29" t="n"/>
      <c r="D308" s="29" t="n"/>
      <c r="E308" s="29" t="n"/>
      <c r="F308" s="29" t="n"/>
      <c r="G308" s="29" t="n"/>
      <c r="H308" s="34" t="n"/>
      <c r="I308" s="29" t="n"/>
    </row>
    <row r="309">
      <c r="A309" s="31" t="n"/>
      <c r="B309" s="29" t="n"/>
      <c r="C309" s="29" t="n"/>
      <c r="D309" s="29" t="n"/>
      <c r="E309" s="29" t="n"/>
      <c r="F309" s="29" t="n"/>
      <c r="G309" s="29" t="n"/>
      <c r="H309" s="34" t="n"/>
      <c r="I309" s="29" t="n"/>
    </row>
    <row r="310">
      <c r="A310" s="31" t="n"/>
      <c r="B310" s="29" t="n"/>
      <c r="C310" s="29" t="n"/>
      <c r="D310" s="29" t="n"/>
      <c r="E310" s="29" t="n"/>
      <c r="F310" s="29" t="n"/>
      <c r="G310" s="29" t="n"/>
      <c r="H310" s="34" t="n"/>
      <c r="I310" s="29" t="n"/>
    </row>
    <row r="311">
      <c r="A311" s="31" t="n"/>
      <c r="B311" s="29" t="n"/>
      <c r="C311" s="29" t="n"/>
      <c r="D311" s="29" t="n"/>
      <c r="E311" s="29" t="n"/>
      <c r="F311" s="29" t="n"/>
      <c r="G311" s="29" t="n"/>
      <c r="H311" s="34" t="n"/>
      <c r="I311" s="29" t="n"/>
    </row>
    <row r="312">
      <c r="A312" s="31" t="n"/>
      <c r="B312" s="29" t="n"/>
      <c r="C312" s="29" t="n"/>
      <c r="D312" s="29" t="n"/>
      <c r="E312" s="29" t="n"/>
      <c r="F312" s="29" t="n"/>
      <c r="G312" s="29" t="n"/>
      <c r="H312" s="34" t="n"/>
      <c r="I312" s="29" t="n"/>
    </row>
    <row r="313">
      <c r="A313" s="31" t="n"/>
      <c r="B313" s="29" t="n"/>
      <c r="C313" s="29" t="n"/>
      <c r="D313" s="29" t="n"/>
      <c r="E313" s="29" t="n"/>
      <c r="F313" s="29" t="n"/>
      <c r="G313" s="29" t="n"/>
      <c r="H313" s="34" t="n"/>
      <c r="I313" s="29" t="n"/>
    </row>
    <row r="314">
      <c r="A314" s="31" t="n"/>
      <c r="B314" s="29" t="n"/>
      <c r="C314" s="29" t="n"/>
      <c r="D314" s="29" t="n"/>
      <c r="E314" s="29" t="n"/>
      <c r="F314" s="29" t="n"/>
      <c r="G314" s="29" t="n"/>
      <c r="H314" s="34" t="n"/>
      <c r="I314" s="29" t="n"/>
    </row>
    <row r="315">
      <c r="A315" s="31" t="n"/>
      <c r="B315" s="29" t="n"/>
      <c r="C315" s="29" t="n"/>
      <c r="D315" s="29" t="n"/>
      <c r="E315" s="29" t="n"/>
      <c r="F315" s="29" t="n"/>
      <c r="G315" s="29" t="n"/>
      <c r="H315" s="34" t="n"/>
      <c r="I315" s="29" t="n"/>
    </row>
    <row r="316">
      <c r="A316" s="31" t="n"/>
      <c r="B316" s="29" t="n"/>
      <c r="C316" s="29" t="n"/>
      <c r="D316" s="29" t="n"/>
      <c r="E316" s="29" t="n"/>
      <c r="F316" s="29" t="n"/>
      <c r="G316" s="29" t="n"/>
      <c r="H316" s="34" t="n"/>
      <c r="I316" s="29" t="n"/>
    </row>
    <row r="317">
      <c r="A317" s="31" t="n"/>
      <c r="B317" s="29" t="n"/>
      <c r="C317" s="29" t="n"/>
      <c r="D317" s="29" t="n"/>
      <c r="E317" s="29" t="n"/>
      <c r="F317" s="29" t="n"/>
      <c r="G317" s="29" t="n"/>
      <c r="H317" s="34" t="n"/>
      <c r="I317" s="29" t="n"/>
    </row>
    <row r="318">
      <c r="A318" s="31" t="n"/>
      <c r="B318" s="29" t="n"/>
      <c r="C318" s="29" t="n"/>
      <c r="D318" s="29" t="n"/>
      <c r="E318" s="29" t="n"/>
      <c r="F318" s="29" t="n"/>
      <c r="G318" s="29" t="n"/>
      <c r="H318" s="34" t="n"/>
      <c r="I318" s="29" t="n"/>
    </row>
    <row r="319">
      <c r="A319" s="31" t="n"/>
      <c r="B319" s="29" t="n"/>
      <c r="C319" s="29" t="n"/>
      <c r="D319" s="29" t="n"/>
      <c r="E319" s="29" t="n"/>
      <c r="F319" s="29" t="n"/>
      <c r="G319" s="29" t="n"/>
      <c r="H319" s="34" t="n"/>
      <c r="I319" s="29" t="n"/>
    </row>
    <row r="320">
      <c r="A320" s="31" t="n"/>
      <c r="B320" s="29" t="n"/>
      <c r="C320" s="29" t="n"/>
      <c r="D320" s="29" t="n"/>
      <c r="E320" s="29" t="n"/>
      <c r="F320" s="29" t="n"/>
      <c r="G320" s="29" t="n"/>
      <c r="H320" s="34" t="n"/>
      <c r="I320" s="29" t="n"/>
    </row>
    <row r="321">
      <c r="A321" s="31" t="n"/>
      <c r="B321" s="29" t="n"/>
      <c r="C321" s="29" t="n"/>
      <c r="D321" s="29" t="n"/>
      <c r="E321" s="29" t="n"/>
      <c r="F321" s="29" t="n"/>
      <c r="G321" s="29" t="n"/>
      <c r="H321" s="34" t="n"/>
      <c r="I321" s="29" t="n"/>
    </row>
    <row r="322">
      <c r="A322" s="31" t="n"/>
      <c r="B322" s="29" t="n"/>
      <c r="C322" s="29" t="n"/>
      <c r="D322" s="29" t="n"/>
      <c r="E322" s="29" t="n"/>
      <c r="F322" s="29" t="n"/>
      <c r="G322" s="29" t="n"/>
      <c r="H322" s="34" t="n"/>
      <c r="I322" s="29" t="n"/>
    </row>
    <row r="323">
      <c r="A323" s="31" t="n"/>
      <c r="B323" s="29" t="n"/>
      <c r="C323" s="29" t="n"/>
      <c r="D323" s="29" t="n"/>
      <c r="E323" s="29" t="n"/>
      <c r="F323" s="29" t="n"/>
      <c r="G323" s="29" t="n"/>
      <c r="H323" s="34" t="n"/>
      <c r="I323" s="29" t="n"/>
    </row>
    <row r="324">
      <c r="A324" s="31" t="n"/>
      <c r="B324" s="29" t="n"/>
      <c r="C324" s="29" t="n"/>
      <c r="D324" s="29" t="n"/>
      <c r="E324" s="29" t="n"/>
      <c r="F324" s="29" t="n"/>
      <c r="G324" s="29" t="n"/>
      <c r="H324" s="34" t="n"/>
      <c r="I324" s="29" t="n"/>
    </row>
    <row r="325">
      <c r="A325" s="31" t="n"/>
      <c r="B325" s="29" t="n"/>
      <c r="C325" s="29" t="n"/>
      <c r="D325" s="29" t="n"/>
      <c r="E325" s="29" t="n"/>
      <c r="F325" s="29" t="n"/>
      <c r="G325" s="29" t="n"/>
      <c r="H325" s="34" t="n"/>
      <c r="I325" s="29" t="n"/>
    </row>
    <row r="326">
      <c r="A326" s="31" t="n"/>
      <c r="B326" s="29" t="n"/>
      <c r="C326" s="29" t="n"/>
      <c r="D326" s="29" t="n"/>
      <c r="E326" s="29" t="n"/>
      <c r="F326" s="29" t="n"/>
      <c r="G326" s="29" t="n"/>
      <c r="H326" s="34" t="n"/>
      <c r="I326" s="29" t="n"/>
    </row>
    <row r="327">
      <c r="A327" s="31" t="n"/>
      <c r="B327" s="29" t="n"/>
      <c r="C327" s="29" t="n"/>
      <c r="D327" s="29" t="n"/>
      <c r="E327" s="29" t="n"/>
      <c r="F327" s="29" t="n"/>
      <c r="G327" s="29" t="n"/>
      <c r="H327" s="34" t="n"/>
      <c r="I327" s="29" t="n"/>
    </row>
    <row r="328">
      <c r="A328" s="31" t="n"/>
      <c r="B328" s="29" t="n"/>
      <c r="C328" s="29" t="n"/>
      <c r="D328" s="29" t="n"/>
      <c r="E328" s="29" t="n"/>
      <c r="F328" s="29" t="n"/>
      <c r="G328" s="29" t="n"/>
      <c r="H328" s="34" t="n"/>
      <c r="I328" s="29" t="n"/>
    </row>
    <row r="329">
      <c r="A329" s="31" t="n"/>
      <c r="B329" s="29" t="n"/>
      <c r="C329" s="29" t="n"/>
      <c r="D329" s="29" t="n"/>
      <c r="E329" s="29" t="n"/>
      <c r="F329" s="29" t="n"/>
      <c r="G329" s="29" t="n"/>
      <c r="H329" s="34" t="n"/>
      <c r="I329" s="29" t="n"/>
    </row>
    <row r="330">
      <c r="A330" s="31" t="n"/>
      <c r="B330" s="29" t="n"/>
      <c r="C330" s="29" t="n"/>
      <c r="D330" s="29" t="n"/>
      <c r="E330" s="29" t="n"/>
      <c r="F330" s="29" t="n"/>
      <c r="G330" s="29" t="n"/>
      <c r="H330" s="34" t="n"/>
      <c r="I330" s="29" t="n"/>
    </row>
    <row r="331">
      <c r="A331" s="31" t="n"/>
      <c r="B331" s="29" t="n"/>
      <c r="C331" s="29" t="n"/>
      <c r="D331" s="29" t="n"/>
      <c r="E331" s="29" t="n"/>
      <c r="F331" s="29" t="n"/>
      <c r="G331" s="29" t="n"/>
      <c r="H331" s="34" t="n"/>
      <c r="I331" s="29" t="n"/>
    </row>
    <row r="332">
      <c r="A332" s="31" t="n"/>
      <c r="B332" s="29" t="n"/>
      <c r="C332" s="29" t="n"/>
      <c r="D332" s="29" t="n"/>
      <c r="E332" s="29" t="n"/>
      <c r="F332" s="29" t="n"/>
      <c r="G332" s="29" t="n"/>
      <c r="H332" s="34" t="n"/>
      <c r="I332" s="29" t="n"/>
    </row>
    <row r="333">
      <c r="A333" s="31" t="n"/>
      <c r="B333" s="29" t="n"/>
      <c r="C333" s="29" t="n"/>
      <c r="D333" s="29" t="n"/>
      <c r="E333" s="29" t="n"/>
      <c r="F333" s="29" t="n"/>
      <c r="G333" s="29" t="n"/>
      <c r="H333" s="34" t="n"/>
      <c r="I333" s="29" t="n"/>
    </row>
    <row r="334">
      <c r="A334" s="31" t="n"/>
      <c r="B334" s="29" t="n"/>
      <c r="C334" s="29" t="n"/>
      <c r="D334" s="29" t="n"/>
      <c r="E334" s="29" t="n"/>
      <c r="F334" s="29" t="n"/>
      <c r="G334" s="29" t="n"/>
      <c r="H334" s="34" t="n"/>
      <c r="I334" s="29" t="n"/>
    </row>
    <row r="335">
      <c r="A335" s="31" t="n"/>
      <c r="B335" s="29" t="n"/>
      <c r="C335" s="29" t="n"/>
      <c r="D335" s="29" t="n"/>
      <c r="E335" s="29" t="n"/>
      <c r="F335" s="29" t="n"/>
      <c r="G335" s="29" t="n"/>
      <c r="H335" s="34" t="n"/>
      <c r="I335" s="29" t="n"/>
    </row>
    <row r="336">
      <c r="A336" s="31" t="n"/>
      <c r="B336" s="29" t="n"/>
      <c r="C336" s="29" t="n"/>
      <c r="D336" s="29" t="n"/>
      <c r="E336" s="29" t="n"/>
      <c r="F336" s="29" t="n"/>
      <c r="G336" s="29" t="n"/>
      <c r="H336" s="34" t="n"/>
      <c r="I336" s="29" t="n"/>
    </row>
    <row r="337">
      <c r="A337" s="31" t="n"/>
      <c r="B337" s="29" t="n"/>
      <c r="C337" s="29" t="n"/>
      <c r="D337" s="29" t="n"/>
      <c r="E337" s="29" t="n"/>
      <c r="F337" s="29" t="n"/>
      <c r="G337" s="29" t="n"/>
      <c r="H337" s="34" t="n"/>
      <c r="I337" s="29" t="n"/>
    </row>
    <row r="338">
      <c r="A338" s="31" t="n"/>
      <c r="B338" s="29" t="n"/>
      <c r="C338" s="29" t="n"/>
      <c r="D338" s="29" t="n"/>
      <c r="E338" s="29" t="n"/>
      <c r="F338" s="29" t="n"/>
      <c r="G338" s="29" t="n"/>
      <c r="H338" s="34" t="n"/>
      <c r="I338" s="29" t="n"/>
    </row>
    <row r="339">
      <c r="A339" s="31" t="n"/>
      <c r="B339" s="29" t="n"/>
      <c r="C339" s="29" t="n"/>
      <c r="D339" s="29" t="n"/>
      <c r="E339" s="29" t="n"/>
      <c r="F339" s="29" t="n"/>
      <c r="G339" s="29" t="n"/>
      <c r="H339" s="34" t="n"/>
      <c r="I339" s="29" t="n"/>
    </row>
    <row r="340">
      <c r="A340" s="31" t="n"/>
      <c r="B340" s="29" t="n"/>
      <c r="C340" s="29" t="n"/>
      <c r="D340" s="29" t="n"/>
      <c r="E340" s="29" t="n"/>
      <c r="F340" s="29" t="n"/>
      <c r="G340" s="29" t="n"/>
      <c r="H340" s="34" t="n"/>
      <c r="I340" s="29" t="n"/>
    </row>
    <row r="341">
      <c r="A341" s="31" t="n"/>
      <c r="B341" s="29" t="n"/>
      <c r="C341" s="29" t="n"/>
      <c r="D341" s="29" t="n"/>
      <c r="E341" s="29" t="n"/>
      <c r="F341" s="29" t="n"/>
      <c r="G341" s="29" t="n"/>
      <c r="H341" s="34" t="n"/>
      <c r="I341" s="29" t="n"/>
    </row>
    <row r="342">
      <c r="A342" s="31" t="n"/>
      <c r="B342" s="29" t="n"/>
      <c r="C342" s="29" t="n"/>
      <c r="D342" s="29" t="n"/>
      <c r="E342" s="29" t="n"/>
      <c r="F342" s="29" t="n"/>
      <c r="G342" s="29" t="n"/>
      <c r="H342" s="34" t="n"/>
      <c r="I342" s="29" t="n"/>
    </row>
    <row r="343">
      <c r="A343" s="31" t="n"/>
      <c r="B343" s="29" t="n"/>
      <c r="C343" s="29" t="n"/>
      <c r="D343" s="29" t="n"/>
      <c r="E343" s="29" t="n"/>
      <c r="F343" s="29" t="n"/>
      <c r="G343" s="29" t="n"/>
      <c r="H343" s="34" t="n"/>
      <c r="I343" s="29" t="n"/>
    </row>
    <row r="344">
      <c r="A344" s="31" t="n"/>
      <c r="B344" s="29" t="n"/>
      <c r="C344" s="29" t="n"/>
      <c r="D344" s="29" t="n"/>
      <c r="E344" s="29" t="n"/>
      <c r="F344" s="29" t="n"/>
      <c r="G344" s="29" t="n"/>
      <c r="H344" s="34" t="n"/>
      <c r="I344" s="29" t="n"/>
    </row>
    <row r="345">
      <c r="A345" s="31" t="n"/>
      <c r="B345" s="29" t="n"/>
      <c r="C345" s="29" t="n"/>
      <c r="D345" s="29" t="n"/>
      <c r="E345" s="29" t="n"/>
      <c r="F345" s="29" t="n"/>
      <c r="G345" s="29" t="n"/>
      <c r="H345" s="34" t="n"/>
      <c r="I345" s="29" t="n"/>
    </row>
    <row r="346">
      <c r="A346" s="31" t="n"/>
      <c r="B346" s="29" t="n"/>
      <c r="C346" s="29" t="n"/>
      <c r="D346" s="29" t="n"/>
      <c r="E346" s="29" t="n"/>
      <c r="F346" s="29" t="n"/>
      <c r="G346" s="29" t="n"/>
      <c r="H346" s="34" t="n"/>
      <c r="I346" s="29" t="n"/>
    </row>
    <row r="347">
      <c r="A347" s="31" t="n"/>
      <c r="B347" s="29" t="n"/>
      <c r="C347" s="29" t="n"/>
      <c r="D347" s="29" t="n"/>
      <c r="E347" s="29" t="n"/>
      <c r="F347" s="29" t="n"/>
      <c r="G347" s="29" t="n"/>
      <c r="H347" s="34" t="n"/>
      <c r="I347" s="29" t="n"/>
    </row>
    <row r="348">
      <c r="A348" s="31" t="n"/>
      <c r="B348" s="29" t="n"/>
      <c r="C348" s="29" t="n"/>
      <c r="D348" s="29" t="n"/>
      <c r="E348" s="29" t="n"/>
      <c r="F348" s="29" t="n"/>
      <c r="G348" s="29" t="n"/>
      <c r="H348" s="34" t="n"/>
      <c r="I348" s="29" t="n"/>
    </row>
    <row r="349">
      <c r="A349" s="31" t="n"/>
      <c r="B349" s="29" t="n"/>
      <c r="C349" s="29" t="n"/>
      <c r="D349" s="29" t="n"/>
      <c r="E349" s="29" t="n"/>
      <c r="F349" s="29" t="n"/>
      <c r="G349" s="29" t="n"/>
      <c r="H349" s="34" t="n"/>
      <c r="I349" s="29" t="n"/>
    </row>
    <row r="350">
      <c r="A350" s="31" t="n"/>
      <c r="B350" s="29" t="n"/>
      <c r="C350" s="29" t="n"/>
      <c r="D350" s="29" t="n"/>
      <c r="E350" s="29" t="n"/>
      <c r="F350" s="29" t="n"/>
      <c r="G350" s="29" t="n"/>
      <c r="H350" s="34" t="n"/>
      <c r="I350" s="29" t="n"/>
    </row>
    <row r="351">
      <c r="A351" s="31" t="n"/>
      <c r="B351" s="29" t="n"/>
      <c r="C351" s="29" t="n"/>
      <c r="D351" s="29" t="n"/>
      <c r="E351" s="29" t="n"/>
      <c r="F351" s="29" t="n"/>
      <c r="G351" s="29" t="n"/>
      <c r="H351" s="34" t="n"/>
      <c r="I351" s="29" t="n"/>
    </row>
    <row r="352">
      <c r="A352" s="31" t="n"/>
      <c r="B352" s="29" t="n"/>
      <c r="C352" s="29" t="n"/>
      <c r="D352" s="29" t="n"/>
      <c r="E352" s="29" t="n"/>
      <c r="F352" s="29" t="n"/>
      <c r="G352" s="29" t="n"/>
      <c r="H352" s="34" t="n"/>
      <c r="I352" s="29" t="n"/>
    </row>
    <row r="353">
      <c r="A353" s="31" t="n"/>
      <c r="B353" s="29" t="n"/>
      <c r="C353" s="29" t="n"/>
      <c r="D353" s="29" t="n"/>
      <c r="E353" s="29" t="n"/>
      <c r="F353" s="29" t="n"/>
      <c r="G353" s="29" t="n"/>
      <c r="H353" s="34" t="n"/>
      <c r="I353" s="29" t="n"/>
    </row>
    <row r="354">
      <c r="A354" s="31" t="n"/>
      <c r="B354" s="29" t="n"/>
      <c r="C354" s="29" t="n"/>
      <c r="D354" s="29" t="n"/>
      <c r="E354" s="29" t="n"/>
      <c r="F354" s="29" t="n"/>
      <c r="G354" s="29" t="n"/>
      <c r="H354" s="34" t="n"/>
      <c r="I354" s="29" t="n"/>
    </row>
    <row r="355">
      <c r="A355" s="31" t="n"/>
      <c r="B355" s="29" t="n"/>
      <c r="C355" s="29" t="n"/>
      <c r="D355" s="29" t="n"/>
      <c r="E355" s="29" t="n"/>
      <c r="F355" s="29" t="n"/>
      <c r="G355" s="29" t="n"/>
      <c r="H355" s="34" t="n"/>
      <c r="I355" s="29" t="n"/>
    </row>
    <row r="356">
      <c r="A356" s="31" t="n"/>
      <c r="B356" s="29" t="n"/>
      <c r="C356" s="29" t="n"/>
      <c r="D356" s="29" t="n"/>
      <c r="E356" s="29" t="n"/>
      <c r="F356" s="29" t="n"/>
      <c r="G356" s="29" t="n"/>
      <c r="H356" s="34" t="n"/>
      <c r="I356" s="29" t="n"/>
    </row>
    <row r="357">
      <c r="A357" s="31" t="n"/>
      <c r="B357" s="29" t="n"/>
      <c r="C357" s="29" t="n"/>
      <c r="D357" s="29" t="n"/>
      <c r="E357" s="29" t="n"/>
      <c r="F357" s="29" t="n"/>
      <c r="G357" s="29" t="n"/>
      <c r="H357" s="34" t="n"/>
      <c r="I357" s="29" t="n"/>
    </row>
    <row r="358">
      <c r="A358" s="31" t="n"/>
      <c r="B358" s="29" t="n"/>
      <c r="C358" s="29" t="n"/>
      <c r="D358" s="29" t="n"/>
      <c r="E358" s="29" t="n"/>
      <c r="F358" s="29" t="n"/>
      <c r="G358" s="29" t="n"/>
      <c r="H358" s="34" t="n"/>
      <c r="I358" s="29" t="n"/>
    </row>
    <row r="359">
      <c r="A359" s="31" t="n"/>
      <c r="B359" s="29" t="n"/>
      <c r="C359" s="29" t="n"/>
      <c r="D359" s="29" t="n"/>
      <c r="E359" s="29" t="n"/>
      <c r="F359" s="29" t="n"/>
      <c r="G359" s="29" t="n"/>
      <c r="H359" s="34" t="n"/>
      <c r="I359" s="29" t="n"/>
    </row>
    <row r="360">
      <c r="A360" s="31" t="n"/>
      <c r="B360" s="29" t="n"/>
      <c r="C360" s="29" t="n"/>
      <c r="D360" s="29" t="n"/>
      <c r="E360" s="29" t="n"/>
      <c r="F360" s="29" t="n"/>
      <c r="G360" s="29" t="n"/>
      <c r="H360" s="34" t="n"/>
      <c r="I360" s="29" t="n"/>
    </row>
    <row r="361">
      <c r="A361" s="31" t="n"/>
      <c r="B361" s="29" t="n"/>
      <c r="C361" s="29" t="n"/>
      <c r="D361" s="29" t="n"/>
      <c r="E361" s="29" t="n"/>
      <c r="F361" s="29" t="n"/>
      <c r="G361" s="29" t="n"/>
      <c r="H361" s="34" t="n"/>
      <c r="I361" s="29" t="n"/>
    </row>
    <row r="362">
      <c r="A362" s="31" t="n"/>
      <c r="B362" s="29" t="n"/>
      <c r="C362" s="29" t="n"/>
      <c r="D362" s="29" t="n"/>
      <c r="E362" s="29" t="n"/>
      <c r="F362" s="29" t="n"/>
      <c r="G362" s="29" t="n"/>
      <c r="H362" s="34" t="n"/>
      <c r="I362" s="29" t="n"/>
    </row>
    <row r="363">
      <c r="A363" s="31" t="n"/>
      <c r="B363" s="29" t="n"/>
      <c r="C363" s="29" t="n"/>
      <c r="D363" s="29" t="n"/>
      <c r="E363" s="29" t="n"/>
      <c r="F363" s="29" t="n"/>
      <c r="G363" s="29" t="n"/>
      <c r="H363" s="34" t="n"/>
      <c r="I363" s="29" t="n"/>
    </row>
    <row r="364">
      <c r="A364" s="31" t="n"/>
      <c r="B364" s="29" t="n"/>
      <c r="C364" s="29" t="n"/>
      <c r="D364" s="29" t="n"/>
      <c r="E364" s="29" t="n"/>
      <c r="F364" s="29" t="n"/>
      <c r="G364" s="29" t="n"/>
      <c r="H364" s="34" t="n"/>
      <c r="I364" s="29" t="n"/>
    </row>
    <row r="365">
      <c r="A365" s="31" t="n"/>
      <c r="B365" s="29" t="n"/>
      <c r="C365" s="29" t="n"/>
      <c r="D365" s="29" t="n"/>
      <c r="E365" s="29" t="n"/>
      <c r="F365" s="29" t="n"/>
      <c r="G365" s="29" t="n"/>
      <c r="H365" s="34" t="n"/>
      <c r="I365" s="29" t="n"/>
    </row>
    <row r="366">
      <c r="A366" s="31" t="n"/>
      <c r="B366" s="29" t="n"/>
      <c r="C366" s="29" t="n"/>
      <c r="D366" s="29" t="n"/>
      <c r="E366" s="29" t="n"/>
      <c r="F366" s="29" t="n"/>
      <c r="G366" s="29" t="n"/>
      <c r="H366" s="34" t="n"/>
      <c r="I366" s="29" t="n"/>
    </row>
    <row r="367">
      <c r="A367" s="31" t="n"/>
      <c r="B367" s="29" t="n"/>
      <c r="C367" s="29" t="n"/>
      <c r="D367" s="29" t="n"/>
      <c r="E367" s="29" t="n"/>
      <c r="F367" s="29" t="n"/>
      <c r="G367" s="29" t="n"/>
      <c r="H367" s="34" t="n"/>
      <c r="I367" s="29" t="n"/>
    </row>
    <row r="368">
      <c r="A368" s="31" t="n"/>
      <c r="B368" s="29" t="n"/>
      <c r="C368" s="29" t="n"/>
      <c r="D368" s="29" t="n"/>
      <c r="E368" s="29" t="n"/>
      <c r="F368" s="29" t="n"/>
      <c r="G368" s="29" t="n"/>
      <c r="H368" s="34" t="n"/>
      <c r="I368" s="29" t="n"/>
    </row>
    <row r="369">
      <c r="A369" s="31" t="n"/>
      <c r="B369" s="29" t="n"/>
      <c r="C369" s="29" t="n"/>
      <c r="D369" s="29" t="n"/>
      <c r="E369" s="29" t="n"/>
      <c r="F369" s="29" t="n"/>
      <c r="G369" s="29" t="n"/>
      <c r="H369" s="34" t="n"/>
      <c r="I369" s="29" t="n"/>
    </row>
    <row r="370">
      <c r="A370" s="31" t="n"/>
      <c r="B370" s="29" t="n"/>
      <c r="C370" s="29" t="n"/>
      <c r="D370" s="29" t="n"/>
      <c r="E370" s="29" t="n"/>
      <c r="F370" s="29" t="n"/>
      <c r="G370" s="29" t="n"/>
      <c r="H370" s="34" t="n"/>
      <c r="I370" s="29" t="n"/>
    </row>
    <row r="371">
      <c r="A371" s="31" t="n"/>
      <c r="B371" s="29" t="n"/>
      <c r="C371" s="29" t="n"/>
      <c r="D371" s="29" t="n"/>
      <c r="E371" s="29" t="n"/>
      <c r="F371" s="29" t="n"/>
      <c r="G371" s="29" t="n"/>
      <c r="H371" s="34" t="n"/>
      <c r="I371" s="29" t="n"/>
    </row>
    <row r="372">
      <c r="A372" s="31" t="n"/>
      <c r="B372" s="29" t="n"/>
      <c r="C372" s="29" t="n"/>
      <c r="D372" s="29" t="n"/>
      <c r="E372" s="29" t="n"/>
      <c r="F372" s="29" t="n"/>
      <c r="G372" s="29" t="n"/>
      <c r="H372" s="34" t="n"/>
      <c r="I372" s="29" t="n"/>
    </row>
    <row r="373">
      <c r="A373" s="31" t="n"/>
      <c r="B373" s="29" t="n"/>
      <c r="C373" s="29" t="n"/>
      <c r="D373" s="29" t="n"/>
      <c r="E373" s="29" t="n"/>
      <c r="F373" s="29" t="n"/>
      <c r="G373" s="29" t="n"/>
      <c r="H373" s="34" t="n"/>
      <c r="I373" s="29" t="n"/>
    </row>
    <row r="374">
      <c r="A374" s="31" t="n"/>
      <c r="B374" s="29" t="n"/>
      <c r="C374" s="29" t="n"/>
      <c r="D374" s="29" t="n"/>
      <c r="E374" s="29" t="n"/>
      <c r="F374" s="29" t="n"/>
      <c r="G374" s="29" t="n"/>
      <c r="H374" s="34" t="n"/>
      <c r="I374" s="29" t="n"/>
    </row>
    <row r="375">
      <c r="A375" s="31" t="n"/>
      <c r="B375" s="29" t="n"/>
      <c r="C375" s="29" t="n"/>
      <c r="D375" s="29" t="n"/>
      <c r="E375" s="29" t="n"/>
      <c r="F375" s="29" t="n"/>
      <c r="G375" s="29" t="n"/>
      <c r="H375" s="34" t="n"/>
      <c r="I375" s="29" t="n"/>
    </row>
    <row r="376">
      <c r="A376" s="31" t="n"/>
      <c r="B376" s="29" t="n"/>
      <c r="C376" s="29" t="n"/>
      <c r="D376" s="29" t="n"/>
      <c r="E376" s="29" t="n"/>
      <c r="F376" s="29" t="n"/>
      <c r="G376" s="29" t="n"/>
      <c r="H376" s="34" t="n"/>
      <c r="I376" s="29" t="n"/>
    </row>
    <row r="377">
      <c r="A377" s="31" t="n"/>
      <c r="B377" s="29" t="n"/>
      <c r="C377" s="29" t="n"/>
      <c r="D377" s="29" t="n"/>
      <c r="E377" s="29" t="n"/>
      <c r="F377" s="29" t="n"/>
      <c r="G377" s="29" t="n"/>
      <c r="H377" s="34" t="n"/>
      <c r="I377" s="29" t="n"/>
    </row>
    <row r="378">
      <c r="A378" s="31" t="n"/>
      <c r="B378" s="29" t="n"/>
      <c r="C378" s="29" t="n"/>
      <c r="D378" s="29" t="n"/>
      <c r="E378" s="29" t="n"/>
      <c r="F378" s="29" t="n"/>
      <c r="G378" s="29" t="n"/>
      <c r="H378" s="34" t="n"/>
      <c r="I378" s="29" t="n"/>
    </row>
    <row r="379">
      <c r="A379" s="31" t="n"/>
      <c r="B379" s="29" t="n"/>
      <c r="C379" s="29" t="n"/>
      <c r="D379" s="29" t="n"/>
      <c r="E379" s="29" t="n"/>
      <c r="F379" s="29" t="n"/>
      <c r="G379" s="29" t="n"/>
      <c r="H379" s="34" t="n"/>
      <c r="I379" s="29" t="n"/>
    </row>
    <row r="380">
      <c r="A380" s="31" t="n"/>
      <c r="B380" s="29" t="n"/>
      <c r="C380" s="29" t="n"/>
      <c r="D380" s="29" t="n"/>
      <c r="E380" s="29" t="n"/>
      <c r="F380" s="29" t="n"/>
      <c r="G380" s="29" t="n"/>
      <c r="H380" s="34" t="n"/>
      <c r="I380" s="29" t="n"/>
    </row>
    <row r="381">
      <c r="A381" s="31" t="n"/>
      <c r="B381" s="29" t="n"/>
      <c r="C381" s="29" t="n"/>
      <c r="D381" s="29" t="n"/>
      <c r="E381" s="29" t="n"/>
      <c r="F381" s="29" t="n"/>
      <c r="G381" s="29" t="n"/>
      <c r="H381" s="34" t="n"/>
      <c r="I381" s="29" t="n"/>
    </row>
    <row r="382">
      <c r="A382" s="31" t="n"/>
      <c r="B382" s="29" t="n"/>
      <c r="C382" s="29" t="n"/>
      <c r="D382" s="29" t="n"/>
      <c r="E382" s="29" t="n"/>
      <c r="F382" s="29" t="n"/>
      <c r="G382" s="29" t="n"/>
      <c r="H382" s="34" t="n"/>
      <c r="I382" s="29" t="n"/>
    </row>
    <row r="383">
      <c r="A383" s="31" t="n"/>
      <c r="B383" s="29" t="n"/>
      <c r="C383" s="29" t="n"/>
      <c r="D383" s="29" t="n"/>
      <c r="E383" s="29" t="n"/>
      <c r="F383" s="29" t="n"/>
      <c r="G383" s="29" t="n"/>
      <c r="H383" s="34" t="n"/>
      <c r="I383" s="29" t="n"/>
    </row>
    <row r="384">
      <c r="A384" s="31" t="n"/>
      <c r="B384" s="29" t="n"/>
      <c r="C384" s="29" t="n"/>
      <c r="D384" s="29" t="n"/>
      <c r="E384" s="29" t="n"/>
      <c r="F384" s="29" t="n"/>
      <c r="G384" s="29" t="n"/>
      <c r="H384" s="34" t="n"/>
      <c r="I384" s="29" t="n"/>
    </row>
    <row r="385">
      <c r="A385" s="31" t="n"/>
      <c r="B385" s="29" t="n"/>
      <c r="C385" s="29" t="n"/>
      <c r="D385" s="29" t="n"/>
      <c r="E385" s="29" t="n"/>
      <c r="F385" s="29" t="n"/>
      <c r="G385" s="29" t="n"/>
      <c r="H385" s="34" t="n"/>
      <c r="I385" s="29" t="n"/>
    </row>
    <row r="386">
      <c r="A386" s="31" t="n"/>
      <c r="B386" s="29" t="n"/>
      <c r="C386" s="29" t="n"/>
      <c r="D386" s="29" t="n"/>
      <c r="E386" s="29" t="n"/>
      <c r="F386" s="29" t="n"/>
      <c r="G386" s="29" t="n"/>
      <c r="H386" s="34" t="n"/>
      <c r="I386" s="29" t="n"/>
    </row>
    <row r="387">
      <c r="A387" s="31" t="n"/>
      <c r="B387" s="29" t="n"/>
      <c r="C387" s="29" t="n"/>
      <c r="D387" s="29" t="n"/>
      <c r="E387" s="29" t="n"/>
      <c r="F387" s="29" t="n"/>
      <c r="G387" s="29" t="n"/>
      <c r="H387" s="34" t="n"/>
      <c r="I387" s="29" t="n"/>
    </row>
    <row r="388">
      <c r="A388" s="31" t="n"/>
      <c r="B388" s="29" t="n"/>
      <c r="C388" s="29" t="n"/>
      <c r="D388" s="29" t="n"/>
      <c r="E388" s="29" t="n"/>
      <c r="F388" s="29" t="n"/>
      <c r="G388" s="29" t="n"/>
      <c r="H388" s="34" t="n"/>
      <c r="I388" s="29" t="n"/>
    </row>
    <row r="389">
      <c r="A389" s="31" t="n"/>
      <c r="B389" s="29" t="n"/>
      <c r="C389" s="29" t="n"/>
      <c r="D389" s="29" t="n"/>
      <c r="E389" s="29" t="n"/>
      <c r="F389" s="29" t="n"/>
      <c r="G389" s="29" t="n"/>
      <c r="H389" s="34" t="n"/>
      <c r="I389" s="29" t="n"/>
    </row>
    <row r="390">
      <c r="A390" s="31" t="n"/>
      <c r="B390" s="29" t="n"/>
      <c r="C390" s="29" t="n"/>
      <c r="D390" s="29" t="n"/>
      <c r="E390" s="29" t="n"/>
      <c r="F390" s="29" t="n"/>
      <c r="G390" s="29" t="n"/>
      <c r="H390" s="34" t="n"/>
      <c r="I390" s="29" t="n"/>
    </row>
    <row r="391">
      <c r="A391" s="31" t="n"/>
      <c r="B391" s="29" t="n"/>
      <c r="C391" s="29" t="n"/>
      <c r="D391" s="29" t="n"/>
      <c r="E391" s="29" t="n"/>
      <c r="F391" s="29" t="n"/>
      <c r="G391" s="29" t="n"/>
      <c r="H391" s="34" t="n"/>
      <c r="I391" s="29" t="n"/>
    </row>
    <row r="392">
      <c r="A392" s="31" t="n"/>
      <c r="B392" s="29" t="n"/>
      <c r="C392" s="29" t="n"/>
      <c r="D392" s="29" t="n"/>
      <c r="E392" s="29" t="n"/>
      <c r="F392" s="29" t="n"/>
      <c r="G392" s="29" t="n"/>
      <c r="H392" s="34" t="n"/>
      <c r="I392" s="29" t="n"/>
    </row>
    <row r="393">
      <c r="A393" s="31" t="n"/>
      <c r="B393" s="29" t="n"/>
      <c r="C393" s="29" t="n"/>
      <c r="D393" s="29" t="n"/>
      <c r="E393" s="29" t="n"/>
      <c r="F393" s="29" t="n"/>
      <c r="G393" s="29" t="n"/>
      <c r="H393" s="34" t="n"/>
      <c r="I393" s="29" t="n"/>
    </row>
    <row r="394">
      <c r="A394" s="31" t="n"/>
      <c r="B394" s="29" t="n"/>
      <c r="C394" s="29" t="n"/>
      <c r="D394" s="29" t="n"/>
      <c r="E394" s="29" t="n"/>
      <c r="F394" s="29" t="n"/>
      <c r="G394" s="29" t="n"/>
      <c r="H394" s="34" t="n"/>
      <c r="I394" s="29" t="n"/>
    </row>
    <row r="395">
      <c r="A395" s="31" t="n"/>
      <c r="B395" s="29" t="n"/>
      <c r="C395" s="29" t="n"/>
      <c r="D395" s="29" t="n"/>
      <c r="E395" s="29" t="n"/>
      <c r="F395" s="29" t="n"/>
      <c r="G395" s="29" t="n"/>
      <c r="H395" s="34" t="n"/>
      <c r="I395" s="29" t="n"/>
    </row>
    <row r="396">
      <c r="A396" s="31" t="n"/>
      <c r="B396" s="29" t="n"/>
      <c r="C396" s="29" t="n"/>
      <c r="D396" s="29" t="n"/>
      <c r="E396" s="29" t="n"/>
      <c r="F396" s="29" t="n"/>
      <c r="G396" s="29" t="n"/>
      <c r="H396" s="34" t="n"/>
      <c r="I396" s="29" t="n"/>
    </row>
    <row r="397">
      <c r="A397" s="31" t="n"/>
      <c r="B397" s="29" t="n"/>
      <c r="C397" s="29" t="n"/>
      <c r="D397" s="29" t="n"/>
      <c r="E397" s="29" t="n"/>
      <c r="F397" s="29" t="n"/>
      <c r="G397" s="29" t="n"/>
      <c r="H397" s="34" t="n"/>
      <c r="I397" s="29" t="n"/>
    </row>
    <row r="398">
      <c r="A398" s="31" t="n"/>
      <c r="B398" s="29" t="n"/>
      <c r="C398" s="29" t="n"/>
      <c r="D398" s="29" t="n"/>
      <c r="E398" s="29" t="n"/>
      <c r="F398" s="29" t="n"/>
      <c r="G398" s="29" t="n"/>
      <c r="H398" s="34" t="n"/>
      <c r="I398" s="29" t="n"/>
    </row>
    <row r="399">
      <c r="A399" s="31" t="n"/>
      <c r="B399" s="29" t="n"/>
      <c r="C399" s="29" t="n"/>
      <c r="D399" s="29" t="n"/>
      <c r="E399" s="29" t="n"/>
      <c r="F399" s="29" t="n"/>
      <c r="G399" s="29" t="n"/>
      <c r="H399" s="34" t="n"/>
      <c r="I399" s="29" t="n"/>
    </row>
    <row r="400">
      <c r="A400" s="31" t="n"/>
      <c r="B400" s="29" t="n"/>
      <c r="C400" s="29" t="n"/>
      <c r="D400" s="29" t="n"/>
      <c r="E400" s="29" t="n"/>
      <c r="F400" s="29" t="n"/>
      <c r="G400" s="29" t="n"/>
      <c r="H400" s="34" t="n"/>
      <c r="I400" s="29" t="n"/>
    </row>
    <row r="401">
      <c r="A401" s="31" t="n"/>
      <c r="B401" s="29" t="n"/>
      <c r="C401" s="29" t="n"/>
      <c r="D401" s="29" t="n"/>
      <c r="E401" s="29" t="n"/>
      <c r="F401" s="29" t="n"/>
      <c r="G401" s="29" t="n"/>
      <c r="H401" s="34" t="n"/>
      <c r="I401" s="29" t="n"/>
    </row>
    <row r="402">
      <c r="A402" s="31" t="n"/>
      <c r="B402" s="29" t="n"/>
      <c r="C402" s="29" t="n"/>
      <c r="D402" s="29" t="n"/>
      <c r="E402" s="29" t="n"/>
      <c r="F402" s="29" t="n"/>
      <c r="G402" s="29" t="n"/>
      <c r="H402" s="34" t="n"/>
      <c r="I402" s="29" t="n"/>
    </row>
    <row r="403">
      <c r="A403" s="31" t="n"/>
      <c r="B403" s="29" t="n"/>
      <c r="C403" s="29" t="n"/>
      <c r="D403" s="29" t="n"/>
      <c r="E403" s="29" t="n"/>
      <c r="F403" s="29" t="n"/>
      <c r="G403" s="29" t="n"/>
      <c r="H403" s="34" t="n"/>
      <c r="I403" s="29" t="n"/>
    </row>
    <row r="404">
      <c r="A404" s="31" t="n"/>
      <c r="B404" s="29" t="n"/>
      <c r="C404" s="29" t="n"/>
      <c r="D404" s="29" t="n"/>
      <c r="E404" s="29" t="n"/>
      <c r="F404" s="29" t="n"/>
      <c r="G404" s="29" t="n"/>
      <c r="H404" s="34" t="n"/>
      <c r="I404" s="29" t="n"/>
    </row>
  </sheetData>
  <mergeCells count="2">
    <mergeCell ref="A1:I1"/>
    <mergeCell ref="A2:I2"/>
  </mergeCells>
  <dataValidations count="2">
    <dataValidation sqref="B5:B404" showDropDown="0" showInputMessage="0" showErrorMessage="0" allowBlank="1" error="Valeur non autorisée." prompt="Choisis une valeur dans la liste." type="list">
      <formula1>=Parametres!$M$5:$M$13</formula1>
    </dataValidation>
    <dataValidation sqref="G5:G404" showDropDown="0" showInputMessage="0" showErrorMessage="0" allowBlank="1" error="Valeur non autorisée." prompt="Choisis une valeur dans la liste." type="list">
      <formula1>=Parametres!$C$5:$C$6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0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8" customWidth="1" min="4" max="4"/>
    <col width="18" customWidth="1" min="5" max="5"/>
    <col width="16" customWidth="1" min="6" max="6"/>
    <col width="16" customWidth="1" min="7" max="7"/>
    <col width="24" customWidth="1" min="8" max="8"/>
    <col width="28" customWidth="1" min="9" max="9"/>
  </cols>
  <sheetData>
    <row r="1">
      <c r="A1" s="1" t="inlineStr">
        <is>
          <t>Suivi financier</t>
        </is>
      </c>
    </row>
    <row r="2">
      <c r="A2" s="2" t="inlineStr">
        <is>
          <t>Toutes les dépenses chantier doivent être enregistrées ici.</t>
        </is>
      </c>
    </row>
    <row r="4" ht="22" customHeight="1">
      <c r="A4" s="28" t="inlineStr">
        <is>
          <t>Date</t>
        </is>
      </c>
      <c r="B4" s="28" t="inlineStr">
        <is>
          <t>Catégorie</t>
        </is>
      </c>
      <c r="C4" s="28" t="inlineStr">
        <is>
          <t>Désignation</t>
        </is>
      </c>
      <c r="D4" s="28" t="inlineStr">
        <is>
          <t>Montant prévu (FCFA)</t>
        </is>
      </c>
      <c r="E4" s="28" t="inlineStr">
        <is>
          <t>Montant réel (FCFA)</t>
        </is>
      </c>
      <c r="F4" s="28" t="inlineStr">
        <is>
          <t>Écart (FCFA)</t>
        </is>
      </c>
      <c r="G4" s="28" t="inlineStr">
        <is>
          <t>Statut paiement</t>
        </is>
      </c>
      <c r="H4" s="28" t="inlineStr">
        <is>
          <t>Bénéficiaire / fournisseur</t>
        </is>
      </c>
      <c r="I4" s="28" t="inlineStr">
        <is>
          <t>Observation</t>
        </is>
      </c>
    </row>
    <row r="5">
      <c r="A5" s="31" t="n">
        <v>46056</v>
      </c>
      <c r="B5" s="29" t="inlineStr">
        <is>
          <t>Installation</t>
        </is>
      </c>
      <c r="C5" s="29" t="inlineStr">
        <is>
          <t>Base vie et sécurisation site</t>
        </is>
      </c>
      <c r="D5" s="42" t="n">
        <v>850000</v>
      </c>
      <c r="E5" s="42" t="n">
        <v>900000</v>
      </c>
      <c r="F5" s="43">
        <f>IF(OR(D5="",E5=""),"",E5-D5)</f>
        <v/>
      </c>
      <c r="G5" s="29" t="inlineStr">
        <is>
          <t>Payé</t>
        </is>
      </c>
      <c r="H5" s="29" t="inlineStr">
        <is>
          <t>Entreprise BTP Papa</t>
        </is>
      </c>
      <c r="I5" s="29" t="inlineStr">
        <is>
          <t>Dépense de démarrage</t>
        </is>
      </c>
    </row>
    <row r="6">
      <c r="A6" s="31" t="n">
        <v>46058</v>
      </c>
      <c r="B6" s="29" t="inlineStr">
        <is>
          <t>Main d'œuvre</t>
        </is>
      </c>
      <c r="C6" s="29" t="inlineStr">
        <is>
          <t>Terrassement et fouilles</t>
        </is>
      </c>
      <c r="D6" s="42" t="n">
        <v>650000</v>
      </c>
      <c r="E6" s="42" t="n">
        <v>650000</v>
      </c>
      <c r="F6" s="43">
        <f>IF(OR(D6="",E6=""),"",E6-D6)</f>
        <v/>
      </c>
      <c r="G6" s="29" t="inlineStr">
        <is>
          <t>Payé</t>
        </is>
      </c>
      <c r="H6" s="29" t="inlineStr">
        <is>
          <t>Équipe terrassement</t>
        </is>
      </c>
      <c r="I6" s="29" t="inlineStr">
        <is>
          <t>Conforme au prévu</t>
        </is>
      </c>
    </row>
    <row r="7">
      <c r="A7" s="31" t="n">
        <v>46063</v>
      </c>
      <c r="B7" s="29" t="inlineStr">
        <is>
          <t>Matériaux</t>
        </is>
      </c>
      <c r="C7" s="29" t="inlineStr">
        <is>
          <t>Achat fer à béton</t>
        </is>
      </c>
      <c r="D7" s="42" t="n">
        <v>3200000</v>
      </c>
      <c r="E7" s="42" t="n">
        <v>3150000</v>
      </c>
      <c r="F7" s="43">
        <f>IF(OR(D7="",E7=""),"",E7-D7)</f>
        <v/>
      </c>
      <c r="G7" s="29" t="inlineStr">
        <is>
          <t>Payé</t>
        </is>
      </c>
      <c r="H7" s="29" t="inlineStr">
        <is>
          <t>SOTACI</t>
        </is>
      </c>
      <c r="I7" s="29" t="inlineStr">
        <is>
          <t>Léger gain négocié</t>
        </is>
      </c>
    </row>
    <row r="8">
      <c r="A8" s="31" t="n">
        <v>46065</v>
      </c>
      <c r="B8" s="29" t="inlineStr">
        <is>
          <t>Transport</t>
        </is>
      </c>
      <c r="C8" s="29" t="inlineStr">
        <is>
          <t>Évacuation déblais + livraison sable</t>
        </is>
      </c>
      <c r="D8" s="42" t="n">
        <v>300000</v>
      </c>
      <c r="E8" s="42" t="n">
        <v>365000</v>
      </c>
      <c r="F8" s="43">
        <f>IF(OR(D8="",E8=""),"",E8-D8)</f>
        <v/>
      </c>
      <c r="G8" s="29" t="inlineStr">
        <is>
          <t>Payé</t>
        </is>
      </c>
      <c r="H8" s="29" t="inlineStr">
        <is>
          <t>Transports Kouamé</t>
        </is>
      </c>
      <c r="I8" s="29" t="inlineStr">
        <is>
          <t>Surcoût carburant</t>
        </is>
      </c>
    </row>
    <row r="9">
      <c r="A9" s="31" t="n">
        <v>46073</v>
      </c>
      <c r="B9" s="29" t="inlineStr">
        <is>
          <t>Main d'œuvre</t>
        </is>
      </c>
      <c r="C9" s="29" t="inlineStr">
        <is>
          <t>Coulage semelles et longrines</t>
        </is>
      </c>
      <c r="D9" s="42" t="n">
        <v>700000</v>
      </c>
      <c r="E9" s="42" t="n">
        <v>760000</v>
      </c>
      <c r="F9" s="43">
        <f>IF(OR(D9="",E9=""),"",E9-D9)</f>
        <v/>
      </c>
      <c r="G9" s="29" t="inlineStr">
        <is>
          <t>Partiel</t>
        </is>
      </c>
      <c r="H9" s="29" t="inlineStr">
        <is>
          <t>Équipe gros œuvre</t>
        </is>
      </c>
      <c r="I9" s="29" t="inlineStr">
        <is>
          <t>Solde à payer</t>
        </is>
      </c>
    </row>
    <row r="10">
      <c r="A10" s="31" t="n">
        <v>46081</v>
      </c>
      <c r="B10" s="29" t="inlineStr">
        <is>
          <t>Matériaux</t>
        </is>
      </c>
      <c r="C10" s="29" t="inlineStr">
        <is>
          <t>Achat briques</t>
        </is>
      </c>
      <c r="D10" s="42" t="n">
        <v>1400000</v>
      </c>
      <c r="E10" s="42" t="n">
        <v>1350000</v>
      </c>
      <c r="F10" s="43">
        <f>IF(OR(D10="",E10=""),"",E10-D10)</f>
        <v/>
      </c>
      <c r="G10" s="29" t="inlineStr">
        <is>
          <t>Payé</t>
        </is>
      </c>
      <c r="H10" s="29" t="inlineStr">
        <is>
          <t>Briqueterie Akoupé</t>
        </is>
      </c>
      <c r="I10" s="29" t="inlineStr">
        <is>
          <t>Conforme</t>
        </is>
      </c>
    </row>
    <row r="11">
      <c r="A11" s="31" t="n">
        <v>46088</v>
      </c>
      <c r="B11" s="29" t="inlineStr">
        <is>
          <t>Équipements</t>
        </is>
      </c>
      <c r="C11" s="29" t="inlineStr">
        <is>
          <t>Location bétonnière + vibreur</t>
        </is>
      </c>
      <c r="D11" s="42" t="n">
        <v>250000</v>
      </c>
      <c r="E11" s="42" t="n">
        <v>250000</v>
      </c>
      <c r="F11" s="43">
        <f>IF(OR(D11="",E11=""),"",E11-D11)</f>
        <v/>
      </c>
      <c r="G11" s="29" t="inlineStr">
        <is>
          <t>Payé</t>
        </is>
      </c>
      <c r="H11" s="29" t="inlineStr">
        <is>
          <t>LocaMat CI</t>
        </is>
      </c>
      <c r="I11" s="29" t="inlineStr">
        <is>
          <t>RAS</t>
        </is>
      </c>
    </row>
    <row r="12">
      <c r="A12" s="31" t="n">
        <v>46095</v>
      </c>
      <c r="B12" s="29" t="inlineStr">
        <is>
          <t>Main d'œuvre</t>
        </is>
      </c>
      <c r="C12" s="29" t="inlineStr">
        <is>
          <t>Coffrage et dalle RDC</t>
        </is>
      </c>
      <c r="D12" s="42" t="n">
        <v>900000</v>
      </c>
      <c r="E12" s="42" t="n">
        <v>0</v>
      </c>
      <c r="F12" s="43">
        <f>IF(OR(D12="",E12=""),"",E12-D12)</f>
        <v/>
      </c>
      <c r="G12" s="29" t="inlineStr">
        <is>
          <t>En attente</t>
        </is>
      </c>
      <c r="H12" s="29" t="inlineStr">
        <is>
          <t>Équipe coffrage</t>
        </is>
      </c>
      <c r="I12" s="29" t="inlineStr">
        <is>
          <t>Paiement après validation DT</t>
        </is>
      </c>
    </row>
    <row r="13">
      <c r="A13" s="31" t="n"/>
      <c r="B13" s="29" t="n"/>
      <c r="C13" s="29" t="n"/>
      <c r="D13" s="35" t="n"/>
      <c r="E13" s="35" t="n"/>
      <c r="F13" s="36">
        <f>IF(OR(D13="",E13=""),"",E13-D13)</f>
        <v/>
      </c>
      <c r="G13" s="29" t="n"/>
      <c r="H13" s="29" t="n"/>
      <c r="I13" s="29" t="n"/>
    </row>
    <row r="14">
      <c r="A14" s="31" t="n"/>
      <c r="B14" s="29" t="n"/>
      <c r="C14" s="29" t="n"/>
      <c r="D14" s="35" t="n"/>
      <c r="E14" s="35" t="n"/>
      <c r="F14" s="36">
        <f>IF(OR(D14="",E14=""),"",E14-D14)</f>
        <v/>
      </c>
      <c r="G14" s="29" t="n"/>
      <c r="H14" s="29" t="n"/>
      <c r="I14" s="29" t="n"/>
    </row>
    <row r="15">
      <c r="A15" s="31" t="n"/>
      <c r="B15" s="29" t="n"/>
      <c r="C15" s="29" t="n"/>
      <c r="D15" s="35" t="n"/>
      <c r="E15" s="35" t="n"/>
      <c r="F15" s="36">
        <f>IF(OR(D15="",E15=""),"",E15-D15)</f>
        <v/>
      </c>
      <c r="G15" s="29" t="n"/>
      <c r="H15" s="29" t="n"/>
      <c r="I15" s="29" t="n"/>
    </row>
    <row r="16">
      <c r="A16" s="31" t="n"/>
      <c r="B16" s="29" t="n"/>
      <c r="C16" s="29" t="n"/>
      <c r="D16" s="35" t="n"/>
      <c r="E16" s="35" t="n"/>
      <c r="F16" s="36">
        <f>IF(OR(D16="",E16=""),"",E16-D16)</f>
        <v/>
      </c>
      <c r="G16" s="29" t="n"/>
      <c r="H16" s="29" t="n"/>
      <c r="I16" s="29" t="n"/>
    </row>
    <row r="17">
      <c r="A17" s="31" t="n"/>
      <c r="B17" s="29" t="n"/>
      <c r="C17" s="29" t="n"/>
      <c r="D17" s="35" t="n"/>
      <c r="E17" s="35" t="n"/>
      <c r="F17" s="36">
        <f>IF(OR(D17="",E17=""),"",E17-D17)</f>
        <v/>
      </c>
      <c r="G17" s="29" t="n"/>
      <c r="H17" s="29" t="n"/>
      <c r="I17" s="29" t="n"/>
    </row>
    <row r="18">
      <c r="A18" s="31" t="n"/>
      <c r="B18" s="29" t="n"/>
      <c r="C18" s="29" t="n"/>
      <c r="D18" s="35" t="n"/>
      <c r="E18" s="35" t="n"/>
      <c r="F18" s="36">
        <f>IF(OR(D18="",E18=""),"",E18-D18)</f>
        <v/>
      </c>
      <c r="G18" s="29" t="n"/>
      <c r="H18" s="29" t="n"/>
      <c r="I18" s="29" t="n"/>
    </row>
    <row r="19">
      <c r="A19" s="31" t="n"/>
      <c r="B19" s="29" t="n"/>
      <c r="C19" s="29" t="n"/>
      <c r="D19" s="35" t="n"/>
      <c r="E19" s="35" t="n"/>
      <c r="F19" s="36">
        <f>IF(OR(D19="",E19=""),"",E19-D19)</f>
        <v/>
      </c>
      <c r="G19" s="29" t="n"/>
      <c r="H19" s="29" t="n"/>
      <c r="I19" s="29" t="n"/>
    </row>
    <row r="20">
      <c r="A20" s="31" t="n"/>
      <c r="B20" s="29" t="n"/>
      <c r="C20" s="29" t="n"/>
      <c r="D20" s="35" t="n"/>
      <c r="E20" s="35" t="n"/>
      <c r="F20" s="36">
        <f>IF(OR(D20="",E20=""),"",E20-D20)</f>
        <v/>
      </c>
      <c r="G20" s="29" t="n"/>
      <c r="H20" s="29" t="n"/>
      <c r="I20" s="29" t="n"/>
    </row>
    <row r="21">
      <c r="A21" s="31" t="n"/>
      <c r="B21" s="29" t="n"/>
      <c r="C21" s="29" t="n"/>
      <c r="D21" s="35" t="n"/>
      <c r="E21" s="35" t="n"/>
      <c r="F21" s="36">
        <f>IF(OR(D21="",E21=""),"",E21-D21)</f>
        <v/>
      </c>
      <c r="G21" s="29" t="n"/>
      <c r="H21" s="29" t="n"/>
      <c r="I21" s="29" t="n"/>
    </row>
    <row r="22">
      <c r="A22" s="31" t="n"/>
      <c r="B22" s="29" t="n"/>
      <c r="C22" s="29" t="n"/>
      <c r="D22" s="35" t="n"/>
      <c r="E22" s="35" t="n"/>
      <c r="F22" s="36">
        <f>IF(OR(D22="",E22=""),"",E22-D22)</f>
        <v/>
      </c>
      <c r="G22" s="29" t="n"/>
      <c r="H22" s="29" t="n"/>
      <c r="I22" s="29" t="n"/>
    </row>
    <row r="23">
      <c r="A23" s="31" t="n"/>
      <c r="B23" s="29" t="n"/>
      <c r="C23" s="29" t="n"/>
      <c r="D23" s="35" t="n"/>
      <c r="E23" s="35" t="n"/>
      <c r="F23" s="36">
        <f>IF(OR(D23="",E23=""),"",E23-D23)</f>
        <v/>
      </c>
      <c r="G23" s="29" t="n"/>
      <c r="H23" s="29" t="n"/>
      <c r="I23" s="29" t="n"/>
    </row>
    <row r="24">
      <c r="A24" s="31" t="n"/>
      <c r="B24" s="29" t="n"/>
      <c r="C24" s="29" t="n"/>
      <c r="D24" s="35" t="n"/>
      <c r="E24" s="35" t="n"/>
      <c r="F24" s="36">
        <f>IF(OR(D24="",E24=""),"",E24-D24)</f>
        <v/>
      </c>
      <c r="G24" s="29" t="n"/>
      <c r="H24" s="29" t="n"/>
      <c r="I24" s="29" t="n"/>
    </row>
    <row r="25">
      <c r="A25" s="31" t="n"/>
      <c r="B25" s="29" t="n"/>
      <c r="C25" s="29" t="n"/>
      <c r="D25" s="35" t="n"/>
      <c r="E25" s="35" t="n"/>
      <c r="F25" s="36">
        <f>IF(OR(D25="",E25=""),"",E25-D25)</f>
        <v/>
      </c>
      <c r="G25" s="29" t="n"/>
      <c r="H25" s="29" t="n"/>
      <c r="I25" s="29" t="n"/>
    </row>
    <row r="26">
      <c r="A26" s="31" t="n"/>
      <c r="B26" s="29" t="n"/>
      <c r="C26" s="29" t="n"/>
      <c r="D26" s="35" t="n"/>
      <c r="E26" s="35" t="n"/>
      <c r="F26" s="36">
        <f>IF(OR(D26="",E26=""),"",E26-D26)</f>
        <v/>
      </c>
      <c r="G26" s="29" t="n"/>
      <c r="H26" s="29" t="n"/>
      <c r="I26" s="29" t="n"/>
    </row>
    <row r="27">
      <c r="A27" s="31" t="n"/>
      <c r="B27" s="29" t="n"/>
      <c r="C27" s="29" t="n"/>
      <c r="D27" s="35" t="n"/>
      <c r="E27" s="35" t="n"/>
      <c r="F27" s="36">
        <f>IF(OR(D27="",E27=""),"",E27-D27)</f>
        <v/>
      </c>
      <c r="G27" s="29" t="n"/>
      <c r="H27" s="29" t="n"/>
      <c r="I27" s="29" t="n"/>
    </row>
    <row r="28">
      <c r="A28" s="31" t="n"/>
      <c r="B28" s="29" t="n"/>
      <c r="C28" s="29" t="n"/>
      <c r="D28" s="35" t="n"/>
      <c r="E28" s="35" t="n"/>
      <c r="F28" s="36">
        <f>IF(OR(D28="",E28=""),"",E28-D28)</f>
        <v/>
      </c>
      <c r="G28" s="29" t="n"/>
      <c r="H28" s="29" t="n"/>
      <c r="I28" s="29" t="n"/>
    </row>
    <row r="29">
      <c r="A29" s="31" t="n"/>
      <c r="B29" s="29" t="n"/>
      <c r="C29" s="29" t="n"/>
      <c r="D29" s="35" t="n"/>
      <c r="E29" s="35" t="n"/>
      <c r="F29" s="36">
        <f>IF(OR(D29="",E29=""),"",E29-D29)</f>
        <v/>
      </c>
      <c r="G29" s="29" t="n"/>
      <c r="H29" s="29" t="n"/>
      <c r="I29" s="29" t="n"/>
    </row>
    <row r="30">
      <c r="A30" s="31" t="n"/>
      <c r="B30" s="29" t="n"/>
      <c r="C30" s="29" t="n"/>
      <c r="D30" s="35" t="n"/>
      <c r="E30" s="35" t="n"/>
      <c r="F30" s="36">
        <f>IF(OR(D30="",E30=""),"",E30-D30)</f>
        <v/>
      </c>
      <c r="G30" s="29" t="n"/>
      <c r="H30" s="29" t="n"/>
      <c r="I30" s="29" t="n"/>
    </row>
    <row r="31">
      <c r="A31" s="31" t="n"/>
      <c r="B31" s="29" t="n"/>
      <c r="C31" s="29" t="n"/>
      <c r="D31" s="35" t="n"/>
      <c r="E31" s="35" t="n"/>
      <c r="F31" s="36">
        <f>IF(OR(D31="",E31=""),"",E31-D31)</f>
        <v/>
      </c>
      <c r="G31" s="29" t="n"/>
      <c r="H31" s="29" t="n"/>
      <c r="I31" s="29" t="n"/>
    </row>
    <row r="32">
      <c r="A32" s="31" t="n"/>
      <c r="B32" s="29" t="n"/>
      <c r="C32" s="29" t="n"/>
      <c r="D32" s="35" t="n"/>
      <c r="E32" s="35" t="n"/>
      <c r="F32" s="36">
        <f>IF(OR(D32="",E32=""),"",E32-D32)</f>
        <v/>
      </c>
      <c r="G32" s="29" t="n"/>
      <c r="H32" s="29" t="n"/>
      <c r="I32" s="29" t="n"/>
    </row>
    <row r="33">
      <c r="A33" s="31" t="n"/>
      <c r="B33" s="29" t="n"/>
      <c r="C33" s="29" t="n"/>
      <c r="D33" s="35" t="n"/>
      <c r="E33" s="35" t="n"/>
      <c r="F33" s="36">
        <f>IF(OR(D33="",E33=""),"",E33-D33)</f>
        <v/>
      </c>
      <c r="G33" s="29" t="n"/>
      <c r="H33" s="29" t="n"/>
      <c r="I33" s="29" t="n"/>
    </row>
    <row r="34">
      <c r="A34" s="31" t="n"/>
      <c r="B34" s="29" t="n"/>
      <c r="C34" s="29" t="n"/>
      <c r="D34" s="35" t="n"/>
      <c r="E34" s="35" t="n"/>
      <c r="F34" s="36">
        <f>IF(OR(D34="",E34=""),"",E34-D34)</f>
        <v/>
      </c>
      <c r="G34" s="29" t="n"/>
      <c r="H34" s="29" t="n"/>
      <c r="I34" s="29" t="n"/>
    </row>
    <row r="35">
      <c r="A35" s="31" t="n"/>
      <c r="B35" s="29" t="n"/>
      <c r="C35" s="29" t="n"/>
      <c r="D35" s="35" t="n"/>
      <c r="E35" s="35" t="n"/>
      <c r="F35" s="36">
        <f>IF(OR(D35="",E35=""),"",E35-D35)</f>
        <v/>
      </c>
      <c r="G35" s="29" t="n"/>
      <c r="H35" s="29" t="n"/>
      <c r="I35" s="29" t="n"/>
    </row>
    <row r="36">
      <c r="A36" s="31" t="n"/>
      <c r="B36" s="29" t="n"/>
      <c r="C36" s="29" t="n"/>
      <c r="D36" s="35" t="n"/>
      <c r="E36" s="35" t="n"/>
      <c r="F36" s="36">
        <f>IF(OR(D36="",E36=""),"",E36-D36)</f>
        <v/>
      </c>
      <c r="G36" s="29" t="n"/>
      <c r="H36" s="29" t="n"/>
      <c r="I36" s="29" t="n"/>
    </row>
    <row r="37">
      <c r="A37" s="31" t="n"/>
      <c r="B37" s="29" t="n"/>
      <c r="C37" s="29" t="n"/>
      <c r="D37" s="35" t="n"/>
      <c r="E37" s="35" t="n"/>
      <c r="F37" s="36">
        <f>IF(OR(D37="",E37=""),"",E37-D37)</f>
        <v/>
      </c>
      <c r="G37" s="29" t="n"/>
      <c r="H37" s="29" t="n"/>
      <c r="I37" s="29" t="n"/>
    </row>
    <row r="38">
      <c r="A38" s="31" t="n"/>
      <c r="B38" s="29" t="n"/>
      <c r="C38" s="29" t="n"/>
      <c r="D38" s="35" t="n"/>
      <c r="E38" s="35" t="n"/>
      <c r="F38" s="36">
        <f>IF(OR(D38="",E38=""),"",E38-D38)</f>
        <v/>
      </c>
      <c r="G38" s="29" t="n"/>
      <c r="H38" s="29" t="n"/>
      <c r="I38" s="29" t="n"/>
    </row>
    <row r="39">
      <c r="A39" s="31" t="n"/>
      <c r="B39" s="29" t="n"/>
      <c r="C39" s="29" t="n"/>
      <c r="D39" s="35" t="n"/>
      <c r="E39" s="35" t="n"/>
      <c r="F39" s="36">
        <f>IF(OR(D39="",E39=""),"",E39-D39)</f>
        <v/>
      </c>
      <c r="G39" s="29" t="n"/>
      <c r="H39" s="29" t="n"/>
      <c r="I39" s="29" t="n"/>
    </row>
    <row r="40">
      <c r="A40" s="31" t="n"/>
      <c r="B40" s="29" t="n"/>
      <c r="C40" s="29" t="n"/>
      <c r="D40" s="35" t="n"/>
      <c r="E40" s="35" t="n"/>
      <c r="F40" s="36">
        <f>IF(OR(D40="",E40=""),"",E40-D40)</f>
        <v/>
      </c>
      <c r="G40" s="29" t="n"/>
      <c r="H40" s="29" t="n"/>
      <c r="I40" s="29" t="n"/>
    </row>
    <row r="41">
      <c r="A41" s="31" t="n"/>
      <c r="B41" s="29" t="n"/>
      <c r="C41" s="29" t="n"/>
      <c r="D41" s="35" t="n"/>
      <c r="E41" s="35" t="n"/>
      <c r="F41" s="36">
        <f>IF(OR(D41="",E41=""),"",E41-D41)</f>
        <v/>
      </c>
      <c r="G41" s="29" t="n"/>
      <c r="H41" s="29" t="n"/>
      <c r="I41" s="29" t="n"/>
    </row>
    <row r="42">
      <c r="A42" s="31" t="n"/>
      <c r="B42" s="29" t="n"/>
      <c r="C42" s="29" t="n"/>
      <c r="D42" s="35" t="n"/>
      <c r="E42" s="35" t="n"/>
      <c r="F42" s="36">
        <f>IF(OR(D42="",E42=""),"",E42-D42)</f>
        <v/>
      </c>
      <c r="G42" s="29" t="n"/>
      <c r="H42" s="29" t="n"/>
      <c r="I42" s="29" t="n"/>
    </row>
    <row r="43">
      <c r="A43" s="31" t="n"/>
      <c r="B43" s="29" t="n"/>
      <c r="C43" s="29" t="n"/>
      <c r="D43" s="35" t="n"/>
      <c r="E43" s="35" t="n"/>
      <c r="F43" s="36">
        <f>IF(OR(D43="",E43=""),"",E43-D43)</f>
        <v/>
      </c>
      <c r="G43" s="29" t="n"/>
      <c r="H43" s="29" t="n"/>
      <c r="I43" s="29" t="n"/>
    </row>
    <row r="44">
      <c r="A44" s="31" t="n"/>
      <c r="B44" s="29" t="n"/>
      <c r="C44" s="29" t="n"/>
      <c r="D44" s="35" t="n"/>
      <c r="E44" s="35" t="n"/>
      <c r="F44" s="36">
        <f>IF(OR(D44="",E44=""),"",E44-D44)</f>
        <v/>
      </c>
      <c r="G44" s="29" t="n"/>
      <c r="H44" s="29" t="n"/>
      <c r="I44" s="29" t="n"/>
    </row>
    <row r="45">
      <c r="A45" s="31" t="n"/>
      <c r="B45" s="29" t="n"/>
      <c r="C45" s="29" t="n"/>
      <c r="D45" s="35" t="n"/>
      <c r="E45" s="35" t="n"/>
      <c r="F45" s="36">
        <f>IF(OR(D45="",E45=""),"",E45-D45)</f>
        <v/>
      </c>
      <c r="G45" s="29" t="n"/>
      <c r="H45" s="29" t="n"/>
      <c r="I45" s="29" t="n"/>
    </row>
    <row r="46">
      <c r="A46" s="31" t="n"/>
      <c r="B46" s="29" t="n"/>
      <c r="C46" s="29" t="n"/>
      <c r="D46" s="35" t="n"/>
      <c r="E46" s="35" t="n"/>
      <c r="F46" s="36">
        <f>IF(OR(D46="",E46=""),"",E46-D46)</f>
        <v/>
      </c>
      <c r="G46" s="29" t="n"/>
      <c r="H46" s="29" t="n"/>
      <c r="I46" s="29" t="n"/>
    </row>
    <row r="47">
      <c r="A47" s="31" t="n"/>
      <c r="B47" s="29" t="n"/>
      <c r="C47" s="29" t="n"/>
      <c r="D47" s="35" t="n"/>
      <c r="E47" s="35" t="n"/>
      <c r="F47" s="36">
        <f>IF(OR(D47="",E47=""),"",E47-D47)</f>
        <v/>
      </c>
      <c r="G47" s="29" t="n"/>
      <c r="H47" s="29" t="n"/>
      <c r="I47" s="29" t="n"/>
    </row>
    <row r="48">
      <c r="A48" s="31" t="n"/>
      <c r="B48" s="29" t="n"/>
      <c r="C48" s="29" t="n"/>
      <c r="D48" s="35" t="n"/>
      <c r="E48" s="35" t="n"/>
      <c r="F48" s="36">
        <f>IF(OR(D48="",E48=""),"",E48-D48)</f>
        <v/>
      </c>
      <c r="G48" s="29" t="n"/>
      <c r="H48" s="29" t="n"/>
      <c r="I48" s="29" t="n"/>
    </row>
    <row r="49">
      <c r="A49" s="31" t="n"/>
      <c r="B49" s="29" t="n"/>
      <c r="C49" s="29" t="n"/>
      <c r="D49" s="35" t="n"/>
      <c r="E49" s="35" t="n"/>
      <c r="F49" s="36">
        <f>IF(OR(D49="",E49=""),"",E49-D49)</f>
        <v/>
      </c>
      <c r="G49" s="29" t="n"/>
      <c r="H49" s="29" t="n"/>
      <c r="I49" s="29" t="n"/>
    </row>
    <row r="50">
      <c r="A50" s="31" t="n"/>
      <c r="B50" s="29" t="n"/>
      <c r="C50" s="29" t="n"/>
      <c r="D50" s="35" t="n"/>
      <c r="E50" s="35" t="n"/>
      <c r="F50" s="36">
        <f>IF(OR(D50="",E50=""),"",E50-D50)</f>
        <v/>
      </c>
      <c r="G50" s="29" t="n"/>
      <c r="H50" s="29" t="n"/>
      <c r="I50" s="29" t="n"/>
    </row>
    <row r="51">
      <c r="A51" s="31" t="n"/>
      <c r="B51" s="29" t="n"/>
      <c r="C51" s="29" t="n"/>
      <c r="D51" s="35" t="n"/>
      <c r="E51" s="35" t="n"/>
      <c r="F51" s="36">
        <f>IF(OR(D51="",E51=""),"",E51-D51)</f>
        <v/>
      </c>
      <c r="G51" s="29" t="n"/>
      <c r="H51" s="29" t="n"/>
      <c r="I51" s="29" t="n"/>
    </row>
    <row r="52">
      <c r="A52" s="31" t="n"/>
      <c r="B52" s="29" t="n"/>
      <c r="C52" s="29" t="n"/>
      <c r="D52" s="35" t="n"/>
      <c r="E52" s="35" t="n"/>
      <c r="F52" s="36">
        <f>IF(OR(D52="",E52=""),"",E52-D52)</f>
        <v/>
      </c>
      <c r="G52" s="29" t="n"/>
      <c r="H52" s="29" t="n"/>
      <c r="I52" s="29" t="n"/>
    </row>
    <row r="53">
      <c r="A53" s="31" t="n"/>
      <c r="B53" s="29" t="n"/>
      <c r="C53" s="29" t="n"/>
      <c r="D53" s="35" t="n"/>
      <c r="E53" s="35" t="n"/>
      <c r="F53" s="36">
        <f>IF(OR(D53="",E53=""),"",E53-D53)</f>
        <v/>
      </c>
      <c r="G53" s="29" t="n"/>
      <c r="H53" s="29" t="n"/>
      <c r="I53" s="29" t="n"/>
    </row>
    <row r="54">
      <c r="A54" s="31" t="n"/>
      <c r="B54" s="29" t="n"/>
      <c r="C54" s="29" t="n"/>
      <c r="D54" s="35" t="n"/>
      <c r="E54" s="35" t="n"/>
      <c r="F54" s="36">
        <f>IF(OR(D54="",E54=""),"",E54-D54)</f>
        <v/>
      </c>
      <c r="G54" s="29" t="n"/>
      <c r="H54" s="29" t="n"/>
      <c r="I54" s="29" t="n"/>
    </row>
    <row r="55">
      <c r="A55" s="31" t="n"/>
      <c r="B55" s="29" t="n"/>
      <c r="C55" s="29" t="n"/>
      <c r="D55" s="35" t="n"/>
      <c r="E55" s="35" t="n"/>
      <c r="F55" s="36">
        <f>IF(OR(D55="",E55=""),"",E55-D55)</f>
        <v/>
      </c>
      <c r="G55" s="29" t="n"/>
      <c r="H55" s="29" t="n"/>
      <c r="I55" s="29" t="n"/>
    </row>
    <row r="56">
      <c r="A56" s="31" t="n"/>
      <c r="B56" s="29" t="n"/>
      <c r="C56" s="29" t="n"/>
      <c r="D56" s="35" t="n"/>
      <c r="E56" s="35" t="n"/>
      <c r="F56" s="36">
        <f>IF(OR(D56="",E56=""),"",E56-D56)</f>
        <v/>
      </c>
      <c r="G56" s="29" t="n"/>
      <c r="H56" s="29" t="n"/>
      <c r="I56" s="29" t="n"/>
    </row>
    <row r="57">
      <c r="A57" s="31" t="n"/>
      <c r="B57" s="29" t="n"/>
      <c r="C57" s="29" t="n"/>
      <c r="D57" s="35" t="n"/>
      <c r="E57" s="35" t="n"/>
      <c r="F57" s="36">
        <f>IF(OR(D57="",E57=""),"",E57-D57)</f>
        <v/>
      </c>
      <c r="G57" s="29" t="n"/>
      <c r="H57" s="29" t="n"/>
      <c r="I57" s="29" t="n"/>
    </row>
    <row r="58">
      <c r="A58" s="31" t="n"/>
      <c r="B58" s="29" t="n"/>
      <c r="C58" s="29" t="n"/>
      <c r="D58" s="35" t="n"/>
      <c r="E58" s="35" t="n"/>
      <c r="F58" s="36">
        <f>IF(OR(D58="",E58=""),"",E58-D58)</f>
        <v/>
      </c>
      <c r="G58" s="29" t="n"/>
      <c r="H58" s="29" t="n"/>
      <c r="I58" s="29" t="n"/>
    </row>
    <row r="59">
      <c r="A59" s="31" t="n"/>
      <c r="B59" s="29" t="n"/>
      <c r="C59" s="29" t="n"/>
      <c r="D59" s="35" t="n"/>
      <c r="E59" s="35" t="n"/>
      <c r="F59" s="36">
        <f>IF(OR(D59="",E59=""),"",E59-D59)</f>
        <v/>
      </c>
      <c r="G59" s="29" t="n"/>
      <c r="H59" s="29" t="n"/>
      <c r="I59" s="29" t="n"/>
    </row>
    <row r="60">
      <c r="A60" s="31" t="n"/>
      <c r="B60" s="29" t="n"/>
      <c r="C60" s="29" t="n"/>
      <c r="D60" s="35" t="n"/>
      <c r="E60" s="35" t="n"/>
      <c r="F60" s="36">
        <f>IF(OR(D60="",E60=""),"",E60-D60)</f>
        <v/>
      </c>
      <c r="G60" s="29" t="n"/>
      <c r="H60" s="29" t="n"/>
      <c r="I60" s="29" t="n"/>
    </row>
    <row r="61">
      <c r="A61" s="31" t="n"/>
      <c r="B61" s="29" t="n"/>
      <c r="C61" s="29" t="n"/>
      <c r="D61" s="35" t="n"/>
      <c r="E61" s="35" t="n"/>
      <c r="F61" s="36">
        <f>IF(OR(D61="",E61=""),"",E61-D61)</f>
        <v/>
      </c>
      <c r="G61" s="29" t="n"/>
      <c r="H61" s="29" t="n"/>
      <c r="I61" s="29" t="n"/>
    </row>
    <row r="62">
      <c r="A62" s="31" t="n"/>
      <c r="B62" s="29" t="n"/>
      <c r="C62" s="29" t="n"/>
      <c r="D62" s="35" t="n"/>
      <c r="E62" s="35" t="n"/>
      <c r="F62" s="36">
        <f>IF(OR(D62="",E62=""),"",E62-D62)</f>
        <v/>
      </c>
      <c r="G62" s="29" t="n"/>
      <c r="H62" s="29" t="n"/>
      <c r="I62" s="29" t="n"/>
    </row>
    <row r="63">
      <c r="A63" s="31" t="n"/>
      <c r="B63" s="29" t="n"/>
      <c r="C63" s="29" t="n"/>
      <c r="D63" s="35" t="n"/>
      <c r="E63" s="35" t="n"/>
      <c r="F63" s="36">
        <f>IF(OR(D63="",E63=""),"",E63-D63)</f>
        <v/>
      </c>
      <c r="G63" s="29" t="n"/>
      <c r="H63" s="29" t="n"/>
      <c r="I63" s="29" t="n"/>
    </row>
    <row r="64">
      <c r="A64" s="31" t="n"/>
      <c r="B64" s="29" t="n"/>
      <c r="C64" s="29" t="n"/>
      <c r="D64" s="35" t="n"/>
      <c r="E64" s="35" t="n"/>
      <c r="F64" s="36">
        <f>IF(OR(D64="",E64=""),"",E64-D64)</f>
        <v/>
      </c>
      <c r="G64" s="29" t="n"/>
      <c r="H64" s="29" t="n"/>
      <c r="I64" s="29" t="n"/>
    </row>
    <row r="65">
      <c r="A65" s="31" t="n"/>
      <c r="B65" s="29" t="n"/>
      <c r="C65" s="29" t="n"/>
      <c r="D65" s="35" t="n"/>
      <c r="E65" s="35" t="n"/>
      <c r="F65" s="36">
        <f>IF(OR(D65="",E65=""),"",E65-D65)</f>
        <v/>
      </c>
      <c r="G65" s="29" t="n"/>
      <c r="H65" s="29" t="n"/>
      <c r="I65" s="29" t="n"/>
    </row>
    <row r="66">
      <c r="A66" s="31" t="n"/>
      <c r="B66" s="29" t="n"/>
      <c r="C66" s="29" t="n"/>
      <c r="D66" s="35" t="n"/>
      <c r="E66" s="35" t="n"/>
      <c r="F66" s="36">
        <f>IF(OR(D66="",E66=""),"",E66-D66)</f>
        <v/>
      </c>
      <c r="G66" s="29" t="n"/>
      <c r="H66" s="29" t="n"/>
      <c r="I66" s="29" t="n"/>
    </row>
    <row r="67">
      <c r="A67" s="31" t="n"/>
      <c r="B67" s="29" t="n"/>
      <c r="C67" s="29" t="n"/>
      <c r="D67" s="35" t="n"/>
      <c r="E67" s="35" t="n"/>
      <c r="F67" s="36">
        <f>IF(OR(D67="",E67=""),"",E67-D67)</f>
        <v/>
      </c>
      <c r="G67" s="29" t="n"/>
      <c r="H67" s="29" t="n"/>
      <c r="I67" s="29" t="n"/>
    </row>
    <row r="68">
      <c r="A68" s="31" t="n"/>
      <c r="B68" s="29" t="n"/>
      <c r="C68" s="29" t="n"/>
      <c r="D68" s="35" t="n"/>
      <c r="E68" s="35" t="n"/>
      <c r="F68" s="36">
        <f>IF(OR(D68="",E68=""),"",E68-D68)</f>
        <v/>
      </c>
      <c r="G68" s="29" t="n"/>
      <c r="H68" s="29" t="n"/>
      <c r="I68" s="29" t="n"/>
    </row>
    <row r="69">
      <c r="A69" s="31" t="n"/>
      <c r="B69" s="29" t="n"/>
      <c r="C69" s="29" t="n"/>
      <c r="D69" s="35" t="n"/>
      <c r="E69" s="35" t="n"/>
      <c r="F69" s="36">
        <f>IF(OR(D69="",E69=""),"",E69-D69)</f>
        <v/>
      </c>
      <c r="G69" s="29" t="n"/>
      <c r="H69" s="29" t="n"/>
      <c r="I69" s="29" t="n"/>
    </row>
    <row r="70">
      <c r="A70" s="31" t="n"/>
      <c r="B70" s="29" t="n"/>
      <c r="C70" s="29" t="n"/>
      <c r="D70" s="35" t="n"/>
      <c r="E70" s="35" t="n"/>
      <c r="F70" s="36">
        <f>IF(OR(D70="",E70=""),"",E70-D70)</f>
        <v/>
      </c>
      <c r="G70" s="29" t="n"/>
      <c r="H70" s="29" t="n"/>
      <c r="I70" s="29" t="n"/>
    </row>
    <row r="71">
      <c r="A71" s="31" t="n"/>
      <c r="B71" s="29" t="n"/>
      <c r="C71" s="29" t="n"/>
      <c r="D71" s="35" t="n"/>
      <c r="E71" s="35" t="n"/>
      <c r="F71" s="36">
        <f>IF(OR(D71="",E71=""),"",E71-D71)</f>
        <v/>
      </c>
      <c r="G71" s="29" t="n"/>
      <c r="H71" s="29" t="n"/>
      <c r="I71" s="29" t="n"/>
    </row>
    <row r="72">
      <c r="A72" s="31" t="n"/>
      <c r="B72" s="29" t="n"/>
      <c r="C72" s="29" t="n"/>
      <c r="D72" s="35" t="n"/>
      <c r="E72" s="35" t="n"/>
      <c r="F72" s="36">
        <f>IF(OR(D72="",E72=""),"",E72-D72)</f>
        <v/>
      </c>
      <c r="G72" s="29" t="n"/>
      <c r="H72" s="29" t="n"/>
      <c r="I72" s="29" t="n"/>
    </row>
    <row r="73">
      <c r="A73" s="31" t="n"/>
      <c r="B73" s="29" t="n"/>
      <c r="C73" s="29" t="n"/>
      <c r="D73" s="35" t="n"/>
      <c r="E73" s="35" t="n"/>
      <c r="F73" s="36">
        <f>IF(OR(D73="",E73=""),"",E73-D73)</f>
        <v/>
      </c>
      <c r="G73" s="29" t="n"/>
      <c r="H73" s="29" t="n"/>
      <c r="I73" s="29" t="n"/>
    </row>
    <row r="74">
      <c r="A74" s="31" t="n"/>
      <c r="B74" s="29" t="n"/>
      <c r="C74" s="29" t="n"/>
      <c r="D74" s="35" t="n"/>
      <c r="E74" s="35" t="n"/>
      <c r="F74" s="36">
        <f>IF(OR(D74="",E74=""),"",E74-D74)</f>
        <v/>
      </c>
      <c r="G74" s="29" t="n"/>
      <c r="H74" s="29" t="n"/>
      <c r="I74" s="29" t="n"/>
    </row>
    <row r="75">
      <c r="A75" s="31" t="n"/>
      <c r="B75" s="29" t="n"/>
      <c r="C75" s="29" t="n"/>
      <c r="D75" s="35" t="n"/>
      <c r="E75" s="35" t="n"/>
      <c r="F75" s="36">
        <f>IF(OR(D75="",E75=""),"",E75-D75)</f>
        <v/>
      </c>
      <c r="G75" s="29" t="n"/>
      <c r="H75" s="29" t="n"/>
      <c r="I75" s="29" t="n"/>
    </row>
    <row r="76">
      <c r="A76" s="31" t="n"/>
      <c r="B76" s="29" t="n"/>
      <c r="C76" s="29" t="n"/>
      <c r="D76" s="35" t="n"/>
      <c r="E76" s="35" t="n"/>
      <c r="F76" s="36">
        <f>IF(OR(D76="",E76=""),"",E76-D76)</f>
        <v/>
      </c>
      <c r="G76" s="29" t="n"/>
      <c r="H76" s="29" t="n"/>
      <c r="I76" s="29" t="n"/>
    </row>
    <row r="77">
      <c r="A77" s="31" t="n"/>
      <c r="B77" s="29" t="n"/>
      <c r="C77" s="29" t="n"/>
      <c r="D77" s="35" t="n"/>
      <c r="E77" s="35" t="n"/>
      <c r="F77" s="36">
        <f>IF(OR(D77="",E77=""),"",E77-D77)</f>
        <v/>
      </c>
      <c r="G77" s="29" t="n"/>
      <c r="H77" s="29" t="n"/>
      <c r="I77" s="29" t="n"/>
    </row>
    <row r="78">
      <c r="A78" s="31" t="n"/>
      <c r="B78" s="29" t="n"/>
      <c r="C78" s="29" t="n"/>
      <c r="D78" s="35" t="n"/>
      <c r="E78" s="35" t="n"/>
      <c r="F78" s="36">
        <f>IF(OR(D78="",E78=""),"",E78-D78)</f>
        <v/>
      </c>
      <c r="G78" s="29" t="n"/>
      <c r="H78" s="29" t="n"/>
      <c r="I78" s="29" t="n"/>
    </row>
    <row r="79">
      <c r="A79" s="31" t="n"/>
      <c r="B79" s="29" t="n"/>
      <c r="C79" s="29" t="n"/>
      <c r="D79" s="35" t="n"/>
      <c r="E79" s="35" t="n"/>
      <c r="F79" s="36">
        <f>IF(OR(D79="",E79=""),"",E79-D79)</f>
        <v/>
      </c>
      <c r="G79" s="29" t="n"/>
      <c r="H79" s="29" t="n"/>
      <c r="I79" s="29" t="n"/>
    </row>
    <row r="80">
      <c r="A80" s="31" t="n"/>
      <c r="B80" s="29" t="n"/>
      <c r="C80" s="29" t="n"/>
      <c r="D80" s="35" t="n"/>
      <c r="E80" s="35" t="n"/>
      <c r="F80" s="36">
        <f>IF(OR(D80="",E80=""),"",E80-D80)</f>
        <v/>
      </c>
      <c r="G80" s="29" t="n"/>
      <c r="H80" s="29" t="n"/>
      <c r="I80" s="29" t="n"/>
    </row>
    <row r="81">
      <c r="A81" s="31" t="n"/>
      <c r="B81" s="29" t="n"/>
      <c r="C81" s="29" t="n"/>
      <c r="D81" s="35" t="n"/>
      <c r="E81" s="35" t="n"/>
      <c r="F81" s="36">
        <f>IF(OR(D81="",E81=""),"",E81-D81)</f>
        <v/>
      </c>
      <c r="G81" s="29" t="n"/>
      <c r="H81" s="29" t="n"/>
      <c r="I81" s="29" t="n"/>
    </row>
    <row r="82">
      <c r="A82" s="31" t="n"/>
      <c r="B82" s="29" t="n"/>
      <c r="C82" s="29" t="n"/>
      <c r="D82" s="35" t="n"/>
      <c r="E82" s="35" t="n"/>
      <c r="F82" s="36">
        <f>IF(OR(D82="",E82=""),"",E82-D82)</f>
        <v/>
      </c>
      <c r="G82" s="29" t="n"/>
      <c r="H82" s="29" t="n"/>
      <c r="I82" s="29" t="n"/>
    </row>
    <row r="83">
      <c r="A83" s="31" t="n"/>
      <c r="B83" s="29" t="n"/>
      <c r="C83" s="29" t="n"/>
      <c r="D83" s="35" t="n"/>
      <c r="E83" s="35" t="n"/>
      <c r="F83" s="36">
        <f>IF(OR(D83="",E83=""),"",E83-D83)</f>
        <v/>
      </c>
      <c r="G83" s="29" t="n"/>
      <c r="H83" s="29" t="n"/>
      <c r="I83" s="29" t="n"/>
    </row>
    <row r="84">
      <c r="A84" s="31" t="n"/>
      <c r="B84" s="29" t="n"/>
      <c r="C84" s="29" t="n"/>
      <c r="D84" s="35" t="n"/>
      <c r="E84" s="35" t="n"/>
      <c r="F84" s="36">
        <f>IF(OR(D84="",E84=""),"",E84-D84)</f>
        <v/>
      </c>
      <c r="G84" s="29" t="n"/>
      <c r="H84" s="29" t="n"/>
      <c r="I84" s="29" t="n"/>
    </row>
    <row r="85">
      <c r="A85" s="31" t="n"/>
      <c r="B85" s="29" t="n"/>
      <c r="C85" s="29" t="n"/>
      <c r="D85" s="35" t="n"/>
      <c r="E85" s="35" t="n"/>
      <c r="F85" s="36">
        <f>IF(OR(D85="",E85=""),"",E85-D85)</f>
        <v/>
      </c>
      <c r="G85" s="29" t="n"/>
      <c r="H85" s="29" t="n"/>
      <c r="I85" s="29" t="n"/>
    </row>
    <row r="86">
      <c r="A86" s="31" t="n"/>
      <c r="B86" s="29" t="n"/>
      <c r="C86" s="29" t="n"/>
      <c r="D86" s="35" t="n"/>
      <c r="E86" s="35" t="n"/>
      <c r="F86" s="36">
        <f>IF(OR(D86="",E86=""),"",E86-D86)</f>
        <v/>
      </c>
      <c r="G86" s="29" t="n"/>
      <c r="H86" s="29" t="n"/>
      <c r="I86" s="29" t="n"/>
    </row>
    <row r="87">
      <c r="A87" s="31" t="n"/>
      <c r="B87" s="29" t="n"/>
      <c r="C87" s="29" t="n"/>
      <c r="D87" s="35" t="n"/>
      <c r="E87" s="35" t="n"/>
      <c r="F87" s="36">
        <f>IF(OR(D87="",E87=""),"",E87-D87)</f>
        <v/>
      </c>
      <c r="G87" s="29" t="n"/>
      <c r="H87" s="29" t="n"/>
      <c r="I87" s="29" t="n"/>
    </row>
    <row r="88">
      <c r="A88" s="31" t="n"/>
      <c r="B88" s="29" t="n"/>
      <c r="C88" s="29" t="n"/>
      <c r="D88" s="35" t="n"/>
      <c r="E88" s="35" t="n"/>
      <c r="F88" s="36">
        <f>IF(OR(D88="",E88=""),"",E88-D88)</f>
        <v/>
      </c>
      <c r="G88" s="29" t="n"/>
      <c r="H88" s="29" t="n"/>
      <c r="I88" s="29" t="n"/>
    </row>
    <row r="89">
      <c r="A89" s="31" t="n"/>
      <c r="B89" s="29" t="n"/>
      <c r="C89" s="29" t="n"/>
      <c r="D89" s="35" t="n"/>
      <c r="E89" s="35" t="n"/>
      <c r="F89" s="36">
        <f>IF(OR(D89="",E89=""),"",E89-D89)</f>
        <v/>
      </c>
      <c r="G89" s="29" t="n"/>
      <c r="H89" s="29" t="n"/>
      <c r="I89" s="29" t="n"/>
    </row>
    <row r="90">
      <c r="A90" s="31" t="n"/>
      <c r="B90" s="29" t="n"/>
      <c r="C90" s="29" t="n"/>
      <c r="D90" s="35" t="n"/>
      <c r="E90" s="35" t="n"/>
      <c r="F90" s="36">
        <f>IF(OR(D90="",E90=""),"",E90-D90)</f>
        <v/>
      </c>
      <c r="G90" s="29" t="n"/>
      <c r="H90" s="29" t="n"/>
      <c r="I90" s="29" t="n"/>
    </row>
    <row r="91">
      <c r="A91" s="31" t="n"/>
      <c r="B91" s="29" t="n"/>
      <c r="C91" s="29" t="n"/>
      <c r="D91" s="35" t="n"/>
      <c r="E91" s="35" t="n"/>
      <c r="F91" s="36">
        <f>IF(OR(D91="",E91=""),"",E91-D91)</f>
        <v/>
      </c>
      <c r="G91" s="29" t="n"/>
      <c r="H91" s="29" t="n"/>
      <c r="I91" s="29" t="n"/>
    </row>
    <row r="92">
      <c r="A92" s="31" t="n"/>
      <c r="B92" s="29" t="n"/>
      <c r="C92" s="29" t="n"/>
      <c r="D92" s="35" t="n"/>
      <c r="E92" s="35" t="n"/>
      <c r="F92" s="36">
        <f>IF(OR(D92="",E92=""),"",E92-D92)</f>
        <v/>
      </c>
      <c r="G92" s="29" t="n"/>
      <c r="H92" s="29" t="n"/>
      <c r="I92" s="29" t="n"/>
    </row>
    <row r="93">
      <c r="A93" s="31" t="n"/>
      <c r="B93" s="29" t="n"/>
      <c r="C93" s="29" t="n"/>
      <c r="D93" s="35" t="n"/>
      <c r="E93" s="35" t="n"/>
      <c r="F93" s="36">
        <f>IF(OR(D93="",E93=""),"",E93-D93)</f>
        <v/>
      </c>
      <c r="G93" s="29" t="n"/>
      <c r="H93" s="29" t="n"/>
      <c r="I93" s="29" t="n"/>
    </row>
    <row r="94">
      <c r="A94" s="31" t="n"/>
      <c r="B94" s="29" t="n"/>
      <c r="C94" s="29" t="n"/>
      <c r="D94" s="35" t="n"/>
      <c r="E94" s="35" t="n"/>
      <c r="F94" s="36">
        <f>IF(OR(D94="",E94=""),"",E94-D94)</f>
        <v/>
      </c>
      <c r="G94" s="29" t="n"/>
      <c r="H94" s="29" t="n"/>
      <c r="I94" s="29" t="n"/>
    </row>
    <row r="95">
      <c r="A95" s="31" t="n"/>
      <c r="B95" s="29" t="n"/>
      <c r="C95" s="29" t="n"/>
      <c r="D95" s="35" t="n"/>
      <c r="E95" s="35" t="n"/>
      <c r="F95" s="36">
        <f>IF(OR(D95="",E95=""),"",E95-D95)</f>
        <v/>
      </c>
      <c r="G95" s="29" t="n"/>
      <c r="H95" s="29" t="n"/>
      <c r="I95" s="29" t="n"/>
    </row>
    <row r="96">
      <c r="A96" s="31" t="n"/>
      <c r="B96" s="29" t="n"/>
      <c r="C96" s="29" t="n"/>
      <c r="D96" s="35" t="n"/>
      <c r="E96" s="35" t="n"/>
      <c r="F96" s="36">
        <f>IF(OR(D96="",E96=""),"",E96-D96)</f>
        <v/>
      </c>
      <c r="G96" s="29" t="n"/>
      <c r="H96" s="29" t="n"/>
      <c r="I96" s="29" t="n"/>
    </row>
    <row r="97">
      <c r="A97" s="31" t="n"/>
      <c r="B97" s="29" t="n"/>
      <c r="C97" s="29" t="n"/>
      <c r="D97" s="35" t="n"/>
      <c r="E97" s="35" t="n"/>
      <c r="F97" s="36">
        <f>IF(OR(D97="",E97=""),"",E97-D97)</f>
        <v/>
      </c>
      <c r="G97" s="29" t="n"/>
      <c r="H97" s="29" t="n"/>
      <c r="I97" s="29" t="n"/>
    </row>
    <row r="98">
      <c r="A98" s="31" t="n"/>
      <c r="B98" s="29" t="n"/>
      <c r="C98" s="29" t="n"/>
      <c r="D98" s="35" t="n"/>
      <c r="E98" s="35" t="n"/>
      <c r="F98" s="36">
        <f>IF(OR(D98="",E98=""),"",E98-D98)</f>
        <v/>
      </c>
      <c r="G98" s="29" t="n"/>
      <c r="H98" s="29" t="n"/>
      <c r="I98" s="29" t="n"/>
    </row>
    <row r="99">
      <c r="A99" s="31" t="n"/>
      <c r="B99" s="29" t="n"/>
      <c r="C99" s="29" t="n"/>
      <c r="D99" s="35" t="n"/>
      <c r="E99" s="35" t="n"/>
      <c r="F99" s="36">
        <f>IF(OR(D99="",E99=""),"",E99-D99)</f>
        <v/>
      </c>
      <c r="G99" s="29" t="n"/>
      <c r="H99" s="29" t="n"/>
      <c r="I99" s="29" t="n"/>
    </row>
    <row r="100">
      <c r="A100" s="31" t="n"/>
      <c r="B100" s="29" t="n"/>
      <c r="C100" s="29" t="n"/>
      <c r="D100" s="35" t="n"/>
      <c r="E100" s="35" t="n"/>
      <c r="F100" s="36">
        <f>IF(OR(D100="",E100=""),"",E100-D100)</f>
        <v/>
      </c>
      <c r="G100" s="29" t="n"/>
      <c r="H100" s="29" t="n"/>
      <c r="I100" s="29" t="n"/>
    </row>
    <row r="101">
      <c r="A101" s="31" t="n"/>
      <c r="B101" s="29" t="n"/>
      <c r="C101" s="29" t="n"/>
      <c r="D101" s="35" t="n"/>
      <c r="E101" s="35" t="n"/>
      <c r="F101" s="36">
        <f>IF(OR(D101="",E101=""),"",E101-D101)</f>
        <v/>
      </c>
      <c r="G101" s="29" t="n"/>
      <c r="H101" s="29" t="n"/>
      <c r="I101" s="29" t="n"/>
    </row>
    <row r="102">
      <c r="A102" s="31" t="n"/>
      <c r="B102" s="29" t="n"/>
      <c r="C102" s="29" t="n"/>
      <c r="D102" s="35" t="n"/>
      <c r="E102" s="35" t="n"/>
      <c r="F102" s="36">
        <f>IF(OR(D102="",E102=""),"",E102-D102)</f>
        <v/>
      </c>
      <c r="G102" s="29" t="n"/>
      <c r="H102" s="29" t="n"/>
      <c r="I102" s="29" t="n"/>
    </row>
    <row r="103">
      <c r="A103" s="31" t="n"/>
      <c r="B103" s="29" t="n"/>
      <c r="C103" s="29" t="n"/>
      <c r="D103" s="35" t="n"/>
      <c r="E103" s="35" t="n"/>
      <c r="F103" s="36">
        <f>IF(OR(D103="",E103=""),"",E103-D103)</f>
        <v/>
      </c>
      <c r="G103" s="29" t="n"/>
      <c r="H103" s="29" t="n"/>
      <c r="I103" s="29" t="n"/>
    </row>
    <row r="104">
      <c r="A104" s="31" t="n"/>
      <c r="B104" s="29" t="n"/>
      <c r="C104" s="29" t="n"/>
      <c r="D104" s="35" t="n"/>
      <c r="E104" s="35" t="n"/>
      <c r="F104" s="36">
        <f>IF(OR(D104="",E104=""),"",E104-D104)</f>
        <v/>
      </c>
      <c r="G104" s="29" t="n"/>
      <c r="H104" s="29" t="n"/>
      <c r="I104" s="29" t="n"/>
    </row>
    <row r="105">
      <c r="A105" s="31" t="n"/>
      <c r="B105" s="29" t="n"/>
      <c r="C105" s="29" t="n"/>
      <c r="D105" s="35" t="n"/>
      <c r="E105" s="35" t="n"/>
      <c r="F105" s="36">
        <f>IF(OR(D105="",E105=""),"",E105-D105)</f>
        <v/>
      </c>
      <c r="G105" s="29" t="n"/>
      <c r="H105" s="29" t="n"/>
      <c r="I105" s="29" t="n"/>
    </row>
    <row r="106">
      <c r="A106" s="31" t="n"/>
      <c r="B106" s="29" t="n"/>
      <c r="C106" s="29" t="n"/>
      <c r="D106" s="35" t="n"/>
      <c r="E106" s="35" t="n"/>
      <c r="F106" s="36">
        <f>IF(OR(D106="",E106=""),"",E106-D106)</f>
        <v/>
      </c>
      <c r="G106" s="29" t="n"/>
      <c r="H106" s="29" t="n"/>
      <c r="I106" s="29" t="n"/>
    </row>
    <row r="107">
      <c r="A107" s="31" t="n"/>
      <c r="B107" s="29" t="n"/>
      <c r="C107" s="29" t="n"/>
      <c r="D107" s="35" t="n"/>
      <c r="E107" s="35" t="n"/>
      <c r="F107" s="36">
        <f>IF(OR(D107="",E107=""),"",E107-D107)</f>
        <v/>
      </c>
      <c r="G107" s="29" t="n"/>
      <c r="H107" s="29" t="n"/>
      <c r="I107" s="29" t="n"/>
    </row>
    <row r="108">
      <c r="A108" s="31" t="n"/>
      <c r="B108" s="29" t="n"/>
      <c r="C108" s="29" t="n"/>
      <c r="D108" s="35" t="n"/>
      <c r="E108" s="35" t="n"/>
      <c r="F108" s="36">
        <f>IF(OR(D108="",E108=""),"",E108-D108)</f>
        <v/>
      </c>
      <c r="G108" s="29" t="n"/>
      <c r="H108" s="29" t="n"/>
      <c r="I108" s="29" t="n"/>
    </row>
    <row r="109">
      <c r="A109" s="31" t="n"/>
      <c r="B109" s="29" t="n"/>
      <c r="C109" s="29" t="n"/>
      <c r="D109" s="35" t="n"/>
      <c r="E109" s="35" t="n"/>
      <c r="F109" s="36">
        <f>IF(OR(D109="",E109=""),"",E109-D109)</f>
        <v/>
      </c>
      <c r="G109" s="29" t="n"/>
      <c r="H109" s="29" t="n"/>
      <c r="I109" s="29" t="n"/>
    </row>
    <row r="110">
      <c r="A110" s="31" t="n"/>
      <c r="B110" s="29" t="n"/>
      <c r="C110" s="29" t="n"/>
      <c r="D110" s="35" t="n"/>
      <c r="E110" s="35" t="n"/>
      <c r="F110" s="36">
        <f>IF(OR(D110="",E110=""),"",E110-D110)</f>
        <v/>
      </c>
      <c r="G110" s="29" t="n"/>
      <c r="H110" s="29" t="n"/>
      <c r="I110" s="29" t="n"/>
    </row>
    <row r="111">
      <c r="A111" s="31" t="n"/>
      <c r="B111" s="29" t="n"/>
      <c r="C111" s="29" t="n"/>
      <c r="D111" s="35" t="n"/>
      <c r="E111" s="35" t="n"/>
      <c r="F111" s="36">
        <f>IF(OR(D111="",E111=""),"",E111-D111)</f>
        <v/>
      </c>
      <c r="G111" s="29" t="n"/>
      <c r="H111" s="29" t="n"/>
      <c r="I111" s="29" t="n"/>
    </row>
    <row r="112">
      <c r="A112" s="31" t="n"/>
      <c r="B112" s="29" t="n"/>
      <c r="C112" s="29" t="n"/>
      <c r="D112" s="35" t="n"/>
      <c r="E112" s="35" t="n"/>
      <c r="F112" s="36">
        <f>IF(OR(D112="",E112=""),"",E112-D112)</f>
        <v/>
      </c>
      <c r="G112" s="29" t="n"/>
      <c r="H112" s="29" t="n"/>
      <c r="I112" s="29" t="n"/>
    </row>
    <row r="113">
      <c r="A113" s="31" t="n"/>
      <c r="B113" s="29" t="n"/>
      <c r="C113" s="29" t="n"/>
      <c r="D113" s="35" t="n"/>
      <c r="E113" s="35" t="n"/>
      <c r="F113" s="36">
        <f>IF(OR(D113="",E113=""),"",E113-D113)</f>
        <v/>
      </c>
      <c r="G113" s="29" t="n"/>
      <c r="H113" s="29" t="n"/>
      <c r="I113" s="29" t="n"/>
    </row>
    <row r="114">
      <c r="A114" s="31" t="n"/>
      <c r="B114" s="29" t="n"/>
      <c r="C114" s="29" t="n"/>
      <c r="D114" s="35" t="n"/>
      <c r="E114" s="35" t="n"/>
      <c r="F114" s="36">
        <f>IF(OR(D114="",E114=""),"",E114-D114)</f>
        <v/>
      </c>
      <c r="G114" s="29" t="n"/>
      <c r="H114" s="29" t="n"/>
      <c r="I114" s="29" t="n"/>
    </row>
    <row r="115">
      <c r="A115" s="31" t="n"/>
      <c r="B115" s="29" t="n"/>
      <c r="C115" s="29" t="n"/>
      <c r="D115" s="35" t="n"/>
      <c r="E115" s="35" t="n"/>
      <c r="F115" s="36">
        <f>IF(OR(D115="",E115=""),"",E115-D115)</f>
        <v/>
      </c>
      <c r="G115" s="29" t="n"/>
      <c r="H115" s="29" t="n"/>
      <c r="I115" s="29" t="n"/>
    </row>
    <row r="116">
      <c r="A116" s="31" t="n"/>
      <c r="B116" s="29" t="n"/>
      <c r="C116" s="29" t="n"/>
      <c r="D116" s="35" t="n"/>
      <c r="E116" s="35" t="n"/>
      <c r="F116" s="36">
        <f>IF(OR(D116="",E116=""),"",E116-D116)</f>
        <v/>
      </c>
      <c r="G116" s="29" t="n"/>
      <c r="H116" s="29" t="n"/>
      <c r="I116" s="29" t="n"/>
    </row>
    <row r="117">
      <c r="A117" s="31" t="n"/>
      <c r="B117" s="29" t="n"/>
      <c r="C117" s="29" t="n"/>
      <c r="D117" s="35" t="n"/>
      <c r="E117" s="35" t="n"/>
      <c r="F117" s="36">
        <f>IF(OR(D117="",E117=""),"",E117-D117)</f>
        <v/>
      </c>
      <c r="G117" s="29" t="n"/>
      <c r="H117" s="29" t="n"/>
      <c r="I117" s="29" t="n"/>
    </row>
    <row r="118">
      <c r="A118" s="31" t="n"/>
      <c r="B118" s="29" t="n"/>
      <c r="C118" s="29" t="n"/>
      <c r="D118" s="35" t="n"/>
      <c r="E118" s="35" t="n"/>
      <c r="F118" s="36">
        <f>IF(OR(D118="",E118=""),"",E118-D118)</f>
        <v/>
      </c>
      <c r="G118" s="29" t="n"/>
      <c r="H118" s="29" t="n"/>
      <c r="I118" s="29" t="n"/>
    </row>
    <row r="119">
      <c r="A119" s="31" t="n"/>
      <c r="B119" s="29" t="n"/>
      <c r="C119" s="29" t="n"/>
      <c r="D119" s="35" t="n"/>
      <c r="E119" s="35" t="n"/>
      <c r="F119" s="36">
        <f>IF(OR(D119="",E119=""),"",E119-D119)</f>
        <v/>
      </c>
      <c r="G119" s="29" t="n"/>
      <c r="H119" s="29" t="n"/>
      <c r="I119" s="29" t="n"/>
    </row>
    <row r="120">
      <c r="A120" s="31" t="n"/>
      <c r="B120" s="29" t="n"/>
      <c r="C120" s="29" t="n"/>
      <c r="D120" s="35" t="n"/>
      <c r="E120" s="35" t="n"/>
      <c r="F120" s="36">
        <f>IF(OR(D120="",E120=""),"",E120-D120)</f>
        <v/>
      </c>
      <c r="G120" s="29" t="n"/>
      <c r="H120" s="29" t="n"/>
      <c r="I120" s="29" t="n"/>
    </row>
    <row r="121">
      <c r="A121" s="31" t="n"/>
      <c r="B121" s="29" t="n"/>
      <c r="C121" s="29" t="n"/>
      <c r="D121" s="35" t="n"/>
      <c r="E121" s="35" t="n"/>
      <c r="F121" s="36">
        <f>IF(OR(D121="",E121=""),"",E121-D121)</f>
        <v/>
      </c>
      <c r="G121" s="29" t="n"/>
      <c r="H121" s="29" t="n"/>
      <c r="I121" s="29" t="n"/>
    </row>
    <row r="122">
      <c r="A122" s="31" t="n"/>
      <c r="B122" s="29" t="n"/>
      <c r="C122" s="29" t="n"/>
      <c r="D122" s="35" t="n"/>
      <c r="E122" s="35" t="n"/>
      <c r="F122" s="36">
        <f>IF(OR(D122="",E122=""),"",E122-D122)</f>
        <v/>
      </c>
      <c r="G122" s="29" t="n"/>
      <c r="H122" s="29" t="n"/>
      <c r="I122" s="29" t="n"/>
    </row>
    <row r="123">
      <c r="A123" s="31" t="n"/>
      <c r="B123" s="29" t="n"/>
      <c r="C123" s="29" t="n"/>
      <c r="D123" s="35" t="n"/>
      <c r="E123" s="35" t="n"/>
      <c r="F123" s="36">
        <f>IF(OR(D123="",E123=""),"",E123-D123)</f>
        <v/>
      </c>
      <c r="G123" s="29" t="n"/>
      <c r="H123" s="29" t="n"/>
      <c r="I123" s="29" t="n"/>
    </row>
    <row r="124">
      <c r="A124" s="31" t="n"/>
      <c r="B124" s="29" t="n"/>
      <c r="C124" s="29" t="n"/>
      <c r="D124" s="35" t="n"/>
      <c r="E124" s="35" t="n"/>
      <c r="F124" s="36">
        <f>IF(OR(D124="",E124=""),"",E124-D124)</f>
        <v/>
      </c>
      <c r="G124" s="29" t="n"/>
      <c r="H124" s="29" t="n"/>
      <c r="I124" s="29" t="n"/>
    </row>
    <row r="125">
      <c r="A125" s="31" t="n"/>
      <c r="B125" s="29" t="n"/>
      <c r="C125" s="29" t="n"/>
      <c r="D125" s="35" t="n"/>
      <c r="E125" s="35" t="n"/>
      <c r="F125" s="36">
        <f>IF(OR(D125="",E125=""),"",E125-D125)</f>
        <v/>
      </c>
      <c r="G125" s="29" t="n"/>
      <c r="H125" s="29" t="n"/>
      <c r="I125" s="29" t="n"/>
    </row>
    <row r="126">
      <c r="A126" s="31" t="n"/>
      <c r="B126" s="29" t="n"/>
      <c r="C126" s="29" t="n"/>
      <c r="D126" s="35" t="n"/>
      <c r="E126" s="35" t="n"/>
      <c r="F126" s="36">
        <f>IF(OR(D126="",E126=""),"",E126-D126)</f>
        <v/>
      </c>
      <c r="G126" s="29" t="n"/>
      <c r="H126" s="29" t="n"/>
      <c r="I126" s="29" t="n"/>
    </row>
    <row r="127">
      <c r="A127" s="31" t="n"/>
      <c r="B127" s="29" t="n"/>
      <c r="C127" s="29" t="n"/>
      <c r="D127" s="35" t="n"/>
      <c r="E127" s="35" t="n"/>
      <c r="F127" s="36">
        <f>IF(OR(D127="",E127=""),"",E127-D127)</f>
        <v/>
      </c>
      <c r="G127" s="29" t="n"/>
      <c r="H127" s="29" t="n"/>
      <c r="I127" s="29" t="n"/>
    </row>
    <row r="128">
      <c r="A128" s="31" t="n"/>
      <c r="B128" s="29" t="n"/>
      <c r="C128" s="29" t="n"/>
      <c r="D128" s="35" t="n"/>
      <c r="E128" s="35" t="n"/>
      <c r="F128" s="36">
        <f>IF(OR(D128="",E128=""),"",E128-D128)</f>
        <v/>
      </c>
      <c r="G128" s="29" t="n"/>
      <c r="H128" s="29" t="n"/>
      <c r="I128" s="29" t="n"/>
    </row>
    <row r="129">
      <c r="A129" s="31" t="n"/>
      <c r="B129" s="29" t="n"/>
      <c r="C129" s="29" t="n"/>
      <c r="D129" s="35" t="n"/>
      <c r="E129" s="35" t="n"/>
      <c r="F129" s="36">
        <f>IF(OR(D129="",E129=""),"",E129-D129)</f>
        <v/>
      </c>
      <c r="G129" s="29" t="n"/>
      <c r="H129" s="29" t="n"/>
      <c r="I129" s="29" t="n"/>
    </row>
    <row r="130">
      <c r="A130" s="31" t="n"/>
      <c r="B130" s="29" t="n"/>
      <c r="C130" s="29" t="n"/>
      <c r="D130" s="35" t="n"/>
      <c r="E130" s="35" t="n"/>
      <c r="F130" s="36">
        <f>IF(OR(D130="",E130=""),"",E130-D130)</f>
        <v/>
      </c>
      <c r="G130" s="29" t="n"/>
      <c r="H130" s="29" t="n"/>
      <c r="I130" s="29" t="n"/>
    </row>
    <row r="131">
      <c r="A131" s="31" t="n"/>
      <c r="B131" s="29" t="n"/>
      <c r="C131" s="29" t="n"/>
      <c r="D131" s="35" t="n"/>
      <c r="E131" s="35" t="n"/>
      <c r="F131" s="36">
        <f>IF(OR(D131="",E131=""),"",E131-D131)</f>
        <v/>
      </c>
      <c r="G131" s="29" t="n"/>
      <c r="H131" s="29" t="n"/>
      <c r="I131" s="29" t="n"/>
    </row>
    <row r="132">
      <c r="A132" s="31" t="n"/>
      <c r="B132" s="29" t="n"/>
      <c r="C132" s="29" t="n"/>
      <c r="D132" s="35" t="n"/>
      <c r="E132" s="35" t="n"/>
      <c r="F132" s="36">
        <f>IF(OR(D132="",E132=""),"",E132-D132)</f>
        <v/>
      </c>
      <c r="G132" s="29" t="n"/>
      <c r="H132" s="29" t="n"/>
      <c r="I132" s="29" t="n"/>
    </row>
    <row r="133">
      <c r="A133" s="31" t="n"/>
      <c r="B133" s="29" t="n"/>
      <c r="C133" s="29" t="n"/>
      <c r="D133" s="35" t="n"/>
      <c r="E133" s="35" t="n"/>
      <c r="F133" s="36">
        <f>IF(OR(D133="",E133=""),"",E133-D133)</f>
        <v/>
      </c>
      <c r="G133" s="29" t="n"/>
      <c r="H133" s="29" t="n"/>
      <c r="I133" s="29" t="n"/>
    </row>
    <row r="134">
      <c r="A134" s="31" t="n"/>
      <c r="B134" s="29" t="n"/>
      <c r="C134" s="29" t="n"/>
      <c r="D134" s="35" t="n"/>
      <c r="E134" s="35" t="n"/>
      <c r="F134" s="36">
        <f>IF(OR(D134="",E134=""),"",E134-D134)</f>
        <v/>
      </c>
      <c r="G134" s="29" t="n"/>
      <c r="H134" s="29" t="n"/>
      <c r="I134" s="29" t="n"/>
    </row>
    <row r="135">
      <c r="A135" s="31" t="n"/>
      <c r="B135" s="29" t="n"/>
      <c r="C135" s="29" t="n"/>
      <c r="D135" s="35" t="n"/>
      <c r="E135" s="35" t="n"/>
      <c r="F135" s="36">
        <f>IF(OR(D135="",E135=""),"",E135-D135)</f>
        <v/>
      </c>
      <c r="G135" s="29" t="n"/>
      <c r="H135" s="29" t="n"/>
      <c r="I135" s="29" t="n"/>
    </row>
    <row r="136">
      <c r="A136" s="31" t="n"/>
      <c r="B136" s="29" t="n"/>
      <c r="C136" s="29" t="n"/>
      <c r="D136" s="35" t="n"/>
      <c r="E136" s="35" t="n"/>
      <c r="F136" s="36">
        <f>IF(OR(D136="",E136=""),"",E136-D136)</f>
        <v/>
      </c>
      <c r="G136" s="29" t="n"/>
      <c r="H136" s="29" t="n"/>
      <c r="I136" s="29" t="n"/>
    </row>
    <row r="137">
      <c r="A137" s="31" t="n"/>
      <c r="B137" s="29" t="n"/>
      <c r="C137" s="29" t="n"/>
      <c r="D137" s="35" t="n"/>
      <c r="E137" s="35" t="n"/>
      <c r="F137" s="36">
        <f>IF(OR(D137="",E137=""),"",E137-D137)</f>
        <v/>
      </c>
      <c r="G137" s="29" t="n"/>
      <c r="H137" s="29" t="n"/>
      <c r="I137" s="29" t="n"/>
    </row>
    <row r="138">
      <c r="A138" s="31" t="n"/>
      <c r="B138" s="29" t="n"/>
      <c r="C138" s="29" t="n"/>
      <c r="D138" s="35" t="n"/>
      <c r="E138" s="35" t="n"/>
      <c r="F138" s="36">
        <f>IF(OR(D138="",E138=""),"",E138-D138)</f>
        <v/>
      </c>
      <c r="G138" s="29" t="n"/>
      <c r="H138" s="29" t="n"/>
      <c r="I138" s="29" t="n"/>
    </row>
    <row r="139">
      <c r="A139" s="31" t="n"/>
      <c r="B139" s="29" t="n"/>
      <c r="C139" s="29" t="n"/>
      <c r="D139" s="35" t="n"/>
      <c r="E139" s="35" t="n"/>
      <c r="F139" s="36">
        <f>IF(OR(D139="",E139=""),"",E139-D139)</f>
        <v/>
      </c>
      <c r="G139" s="29" t="n"/>
      <c r="H139" s="29" t="n"/>
      <c r="I139" s="29" t="n"/>
    </row>
    <row r="140">
      <c r="A140" s="31" t="n"/>
      <c r="B140" s="29" t="n"/>
      <c r="C140" s="29" t="n"/>
      <c r="D140" s="35" t="n"/>
      <c r="E140" s="35" t="n"/>
      <c r="F140" s="36">
        <f>IF(OR(D140="",E140=""),"",E140-D140)</f>
        <v/>
      </c>
      <c r="G140" s="29" t="n"/>
      <c r="H140" s="29" t="n"/>
      <c r="I140" s="29" t="n"/>
    </row>
    <row r="141">
      <c r="A141" s="31" t="n"/>
      <c r="B141" s="29" t="n"/>
      <c r="C141" s="29" t="n"/>
      <c r="D141" s="35" t="n"/>
      <c r="E141" s="35" t="n"/>
      <c r="F141" s="36">
        <f>IF(OR(D141="",E141=""),"",E141-D141)</f>
        <v/>
      </c>
      <c r="G141" s="29" t="n"/>
      <c r="H141" s="29" t="n"/>
      <c r="I141" s="29" t="n"/>
    </row>
    <row r="142">
      <c r="A142" s="31" t="n"/>
      <c r="B142" s="29" t="n"/>
      <c r="C142" s="29" t="n"/>
      <c r="D142" s="35" t="n"/>
      <c r="E142" s="35" t="n"/>
      <c r="F142" s="36">
        <f>IF(OR(D142="",E142=""),"",E142-D142)</f>
        <v/>
      </c>
      <c r="G142" s="29" t="n"/>
      <c r="H142" s="29" t="n"/>
      <c r="I142" s="29" t="n"/>
    </row>
    <row r="143">
      <c r="A143" s="31" t="n"/>
      <c r="B143" s="29" t="n"/>
      <c r="C143" s="29" t="n"/>
      <c r="D143" s="35" t="n"/>
      <c r="E143" s="35" t="n"/>
      <c r="F143" s="36">
        <f>IF(OR(D143="",E143=""),"",E143-D143)</f>
        <v/>
      </c>
      <c r="G143" s="29" t="n"/>
      <c r="H143" s="29" t="n"/>
      <c r="I143" s="29" t="n"/>
    </row>
    <row r="144">
      <c r="A144" s="31" t="n"/>
      <c r="B144" s="29" t="n"/>
      <c r="C144" s="29" t="n"/>
      <c r="D144" s="35" t="n"/>
      <c r="E144" s="35" t="n"/>
      <c r="F144" s="36">
        <f>IF(OR(D144="",E144=""),"",E144-D144)</f>
        <v/>
      </c>
      <c r="G144" s="29" t="n"/>
      <c r="H144" s="29" t="n"/>
      <c r="I144" s="29" t="n"/>
    </row>
    <row r="145">
      <c r="A145" s="31" t="n"/>
      <c r="B145" s="29" t="n"/>
      <c r="C145" s="29" t="n"/>
      <c r="D145" s="35" t="n"/>
      <c r="E145" s="35" t="n"/>
      <c r="F145" s="36">
        <f>IF(OR(D145="",E145=""),"",E145-D145)</f>
        <v/>
      </c>
      <c r="G145" s="29" t="n"/>
      <c r="H145" s="29" t="n"/>
      <c r="I145" s="29" t="n"/>
    </row>
    <row r="146">
      <c r="A146" s="31" t="n"/>
      <c r="B146" s="29" t="n"/>
      <c r="C146" s="29" t="n"/>
      <c r="D146" s="35" t="n"/>
      <c r="E146" s="35" t="n"/>
      <c r="F146" s="36">
        <f>IF(OR(D146="",E146=""),"",E146-D146)</f>
        <v/>
      </c>
      <c r="G146" s="29" t="n"/>
      <c r="H146" s="29" t="n"/>
      <c r="I146" s="29" t="n"/>
    </row>
    <row r="147">
      <c r="A147" s="31" t="n"/>
      <c r="B147" s="29" t="n"/>
      <c r="C147" s="29" t="n"/>
      <c r="D147" s="35" t="n"/>
      <c r="E147" s="35" t="n"/>
      <c r="F147" s="36">
        <f>IF(OR(D147="",E147=""),"",E147-D147)</f>
        <v/>
      </c>
      <c r="G147" s="29" t="n"/>
      <c r="H147" s="29" t="n"/>
      <c r="I147" s="29" t="n"/>
    </row>
    <row r="148">
      <c r="A148" s="31" t="n"/>
      <c r="B148" s="29" t="n"/>
      <c r="C148" s="29" t="n"/>
      <c r="D148" s="35" t="n"/>
      <c r="E148" s="35" t="n"/>
      <c r="F148" s="36">
        <f>IF(OR(D148="",E148=""),"",E148-D148)</f>
        <v/>
      </c>
      <c r="G148" s="29" t="n"/>
      <c r="H148" s="29" t="n"/>
      <c r="I148" s="29" t="n"/>
    </row>
    <row r="149">
      <c r="A149" s="31" t="n"/>
      <c r="B149" s="29" t="n"/>
      <c r="C149" s="29" t="n"/>
      <c r="D149" s="35" t="n"/>
      <c r="E149" s="35" t="n"/>
      <c r="F149" s="36">
        <f>IF(OR(D149="",E149=""),"",E149-D149)</f>
        <v/>
      </c>
      <c r="G149" s="29" t="n"/>
      <c r="H149" s="29" t="n"/>
      <c r="I149" s="29" t="n"/>
    </row>
    <row r="150">
      <c r="A150" s="31" t="n"/>
      <c r="B150" s="29" t="n"/>
      <c r="C150" s="29" t="n"/>
      <c r="D150" s="35" t="n"/>
      <c r="E150" s="35" t="n"/>
      <c r="F150" s="36">
        <f>IF(OR(D150="",E150=""),"",E150-D150)</f>
        <v/>
      </c>
      <c r="G150" s="29" t="n"/>
      <c r="H150" s="29" t="n"/>
      <c r="I150" s="29" t="n"/>
    </row>
    <row r="151">
      <c r="A151" s="31" t="n"/>
      <c r="B151" s="29" t="n"/>
      <c r="C151" s="29" t="n"/>
      <c r="D151" s="35" t="n"/>
      <c r="E151" s="35" t="n"/>
      <c r="F151" s="36">
        <f>IF(OR(D151="",E151=""),"",E151-D151)</f>
        <v/>
      </c>
      <c r="G151" s="29" t="n"/>
      <c r="H151" s="29" t="n"/>
      <c r="I151" s="29" t="n"/>
    </row>
    <row r="152">
      <c r="A152" s="31" t="n"/>
      <c r="B152" s="29" t="n"/>
      <c r="C152" s="29" t="n"/>
      <c r="D152" s="35" t="n"/>
      <c r="E152" s="35" t="n"/>
      <c r="F152" s="36">
        <f>IF(OR(D152="",E152=""),"",E152-D152)</f>
        <v/>
      </c>
      <c r="G152" s="29" t="n"/>
      <c r="H152" s="29" t="n"/>
      <c r="I152" s="29" t="n"/>
    </row>
    <row r="153">
      <c r="A153" s="31" t="n"/>
      <c r="B153" s="29" t="n"/>
      <c r="C153" s="29" t="n"/>
      <c r="D153" s="35" t="n"/>
      <c r="E153" s="35" t="n"/>
      <c r="F153" s="36">
        <f>IF(OR(D153="",E153=""),"",E153-D153)</f>
        <v/>
      </c>
      <c r="G153" s="29" t="n"/>
      <c r="H153" s="29" t="n"/>
      <c r="I153" s="29" t="n"/>
    </row>
    <row r="154">
      <c r="A154" s="31" t="n"/>
      <c r="B154" s="29" t="n"/>
      <c r="C154" s="29" t="n"/>
      <c r="D154" s="35" t="n"/>
      <c r="E154" s="35" t="n"/>
      <c r="F154" s="36">
        <f>IF(OR(D154="",E154=""),"",E154-D154)</f>
        <v/>
      </c>
      <c r="G154" s="29" t="n"/>
      <c r="H154" s="29" t="n"/>
      <c r="I154" s="29" t="n"/>
    </row>
    <row r="155">
      <c r="A155" s="31" t="n"/>
      <c r="B155" s="29" t="n"/>
      <c r="C155" s="29" t="n"/>
      <c r="D155" s="35" t="n"/>
      <c r="E155" s="35" t="n"/>
      <c r="F155" s="36">
        <f>IF(OR(D155="",E155=""),"",E155-D155)</f>
        <v/>
      </c>
      <c r="G155" s="29" t="n"/>
      <c r="H155" s="29" t="n"/>
      <c r="I155" s="29" t="n"/>
    </row>
    <row r="156">
      <c r="A156" s="31" t="n"/>
      <c r="B156" s="29" t="n"/>
      <c r="C156" s="29" t="n"/>
      <c r="D156" s="35" t="n"/>
      <c r="E156" s="35" t="n"/>
      <c r="F156" s="36">
        <f>IF(OR(D156="",E156=""),"",E156-D156)</f>
        <v/>
      </c>
      <c r="G156" s="29" t="n"/>
      <c r="H156" s="29" t="n"/>
      <c r="I156" s="29" t="n"/>
    </row>
    <row r="157">
      <c r="A157" s="31" t="n"/>
      <c r="B157" s="29" t="n"/>
      <c r="C157" s="29" t="n"/>
      <c r="D157" s="35" t="n"/>
      <c r="E157" s="35" t="n"/>
      <c r="F157" s="36">
        <f>IF(OR(D157="",E157=""),"",E157-D157)</f>
        <v/>
      </c>
      <c r="G157" s="29" t="n"/>
      <c r="H157" s="29" t="n"/>
      <c r="I157" s="29" t="n"/>
    </row>
    <row r="158">
      <c r="A158" s="31" t="n"/>
      <c r="B158" s="29" t="n"/>
      <c r="C158" s="29" t="n"/>
      <c r="D158" s="35" t="n"/>
      <c r="E158" s="35" t="n"/>
      <c r="F158" s="36">
        <f>IF(OR(D158="",E158=""),"",E158-D158)</f>
        <v/>
      </c>
      <c r="G158" s="29" t="n"/>
      <c r="H158" s="29" t="n"/>
      <c r="I158" s="29" t="n"/>
    </row>
    <row r="159">
      <c r="A159" s="31" t="n"/>
      <c r="B159" s="29" t="n"/>
      <c r="C159" s="29" t="n"/>
      <c r="D159" s="35" t="n"/>
      <c r="E159" s="35" t="n"/>
      <c r="F159" s="36">
        <f>IF(OR(D159="",E159=""),"",E159-D159)</f>
        <v/>
      </c>
      <c r="G159" s="29" t="n"/>
      <c r="H159" s="29" t="n"/>
      <c r="I159" s="29" t="n"/>
    </row>
    <row r="160">
      <c r="A160" s="31" t="n"/>
      <c r="B160" s="29" t="n"/>
      <c r="C160" s="29" t="n"/>
      <c r="D160" s="35" t="n"/>
      <c r="E160" s="35" t="n"/>
      <c r="F160" s="36">
        <f>IF(OR(D160="",E160=""),"",E160-D160)</f>
        <v/>
      </c>
      <c r="G160" s="29" t="n"/>
      <c r="H160" s="29" t="n"/>
      <c r="I160" s="29" t="n"/>
    </row>
    <row r="161">
      <c r="A161" s="31" t="n"/>
      <c r="B161" s="29" t="n"/>
      <c r="C161" s="29" t="n"/>
      <c r="D161" s="35" t="n"/>
      <c r="E161" s="35" t="n"/>
      <c r="F161" s="36">
        <f>IF(OR(D161="",E161=""),"",E161-D161)</f>
        <v/>
      </c>
      <c r="G161" s="29" t="n"/>
      <c r="H161" s="29" t="n"/>
      <c r="I161" s="29" t="n"/>
    </row>
    <row r="162">
      <c r="A162" s="31" t="n"/>
      <c r="B162" s="29" t="n"/>
      <c r="C162" s="29" t="n"/>
      <c r="D162" s="35" t="n"/>
      <c r="E162" s="35" t="n"/>
      <c r="F162" s="36">
        <f>IF(OR(D162="",E162=""),"",E162-D162)</f>
        <v/>
      </c>
      <c r="G162" s="29" t="n"/>
      <c r="H162" s="29" t="n"/>
      <c r="I162" s="29" t="n"/>
    </row>
    <row r="163">
      <c r="A163" s="31" t="n"/>
      <c r="B163" s="29" t="n"/>
      <c r="C163" s="29" t="n"/>
      <c r="D163" s="35" t="n"/>
      <c r="E163" s="35" t="n"/>
      <c r="F163" s="36">
        <f>IF(OR(D163="",E163=""),"",E163-D163)</f>
        <v/>
      </c>
      <c r="G163" s="29" t="n"/>
      <c r="H163" s="29" t="n"/>
      <c r="I163" s="29" t="n"/>
    </row>
    <row r="164">
      <c r="A164" s="31" t="n"/>
      <c r="B164" s="29" t="n"/>
      <c r="C164" s="29" t="n"/>
      <c r="D164" s="35" t="n"/>
      <c r="E164" s="35" t="n"/>
      <c r="F164" s="36">
        <f>IF(OR(D164="",E164=""),"",E164-D164)</f>
        <v/>
      </c>
      <c r="G164" s="29" t="n"/>
      <c r="H164" s="29" t="n"/>
      <c r="I164" s="29" t="n"/>
    </row>
    <row r="165">
      <c r="A165" s="31" t="n"/>
      <c r="B165" s="29" t="n"/>
      <c r="C165" s="29" t="n"/>
      <c r="D165" s="35" t="n"/>
      <c r="E165" s="35" t="n"/>
      <c r="F165" s="36">
        <f>IF(OR(D165="",E165=""),"",E165-D165)</f>
        <v/>
      </c>
      <c r="G165" s="29" t="n"/>
      <c r="H165" s="29" t="n"/>
      <c r="I165" s="29" t="n"/>
    </row>
    <row r="166">
      <c r="A166" s="31" t="n"/>
      <c r="B166" s="29" t="n"/>
      <c r="C166" s="29" t="n"/>
      <c r="D166" s="35" t="n"/>
      <c r="E166" s="35" t="n"/>
      <c r="F166" s="36">
        <f>IF(OR(D166="",E166=""),"",E166-D166)</f>
        <v/>
      </c>
      <c r="G166" s="29" t="n"/>
      <c r="H166" s="29" t="n"/>
      <c r="I166" s="29" t="n"/>
    </row>
    <row r="167">
      <c r="A167" s="31" t="n"/>
      <c r="B167" s="29" t="n"/>
      <c r="C167" s="29" t="n"/>
      <c r="D167" s="35" t="n"/>
      <c r="E167" s="35" t="n"/>
      <c r="F167" s="36">
        <f>IF(OR(D167="",E167=""),"",E167-D167)</f>
        <v/>
      </c>
      <c r="G167" s="29" t="n"/>
      <c r="H167" s="29" t="n"/>
      <c r="I167" s="29" t="n"/>
    </row>
    <row r="168">
      <c r="A168" s="31" t="n"/>
      <c r="B168" s="29" t="n"/>
      <c r="C168" s="29" t="n"/>
      <c r="D168" s="35" t="n"/>
      <c r="E168" s="35" t="n"/>
      <c r="F168" s="36">
        <f>IF(OR(D168="",E168=""),"",E168-D168)</f>
        <v/>
      </c>
      <c r="G168" s="29" t="n"/>
      <c r="H168" s="29" t="n"/>
      <c r="I168" s="29" t="n"/>
    </row>
    <row r="169">
      <c r="A169" s="31" t="n"/>
      <c r="B169" s="29" t="n"/>
      <c r="C169" s="29" t="n"/>
      <c r="D169" s="35" t="n"/>
      <c r="E169" s="35" t="n"/>
      <c r="F169" s="36">
        <f>IF(OR(D169="",E169=""),"",E169-D169)</f>
        <v/>
      </c>
      <c r="G169" s="29" t="n"/>
      <c r="H169" s="29" t="n"/>
      <c r="I169" s="29" t="n"/>
    </row>
    <row r="170">
      <c r="A170" s="31" t="n"/>
      <c r="B170" s="29" t="n"/>
      <c r="C170" s="29" t="n"/>
      <c r="D170" s="35" t="n"/>
      <c r="E170" s="35" t="n"/>
      <c r="F170" s="36">
        <f>IF(OR(D170="",E170=""),"",E170-D170)</f>
        <v/>
      </c>
      <c r="G170" s="29" t="n"/>
      <c r="H170" s="29" t="n"/>
      <c r="I170" s="29" t="n"/>
    </row>
    <row r="171">
      <c r="A171" s="31" t="n"/>
      <c r="B171" s="29" t="n"/>
      <c r="C171" s="29" t="n"/>
      <c r="D171" s="35" t="n"/>
      <c r="E171" s="35" t="n"/>
      <c r="F171" s="36">
        <f>IF(OR(D171="",E171=""),"",E171-D171)</f>
        <v/>
      </c>
      <c r="G171" s="29" t="n"/>
      <c r="H171" s="29" t="n"/>
      <c r="I171" s="29" t="n"/>
    </row>
    <row r="172">
      <c r="A172" s="31" t="n"/>
      <c r="B172" s="29" t="n"/>
      <c r="C172" s="29" t="n"/>
      <c r="D172" s="35" t="n"/>
      <c r="E172" s="35" t="n"/>
      <c r="F172" s="36">
        <f>IF(OR(D172="",E172=""),"",E172-D172)</f>
        <v/>
      </c>
      <c r="G172" s="29" t="n"/>
      <c r="H172" s="29" t="n"/>
      <c r="I172" s="29" t="n"/>
    </row>
    <row r="173">
      <c r="A173" s="31" t="n"/>
      <c r="B173" s="29" t="n"/>
      <c r="C173" s="29" t="n"/>
      <c r="D173" s="35" t="n"/>
      <c r="E173" s="35" t="n"/>
      <c r="F173" s="36">
        <f>IF(OR(D173="",E173=""),"",E173-D173)</f>
        <v/>
      </c>
      <c r="G173" s="29" t="n"/>
      <c r="H173" s="29" t="n"/>
      <c r="I173" s="29" t="n"/>
    </row>
    <row r="174">
      <c r="A174" s="31" t="n"/>
      <c r="B174" s="29" t="n"/>
      <c r="C174" s="29" t="n"/>
      <c r="D174" s="35" t="n"/>
      <c r="E174" s="35" t="n"/>
      <c r="F174" s="36">
        <f>IF(OR(D174="",E174=""),"",E174-D174)</f>
        <v/>
      </c>
      <c r="G174" s="29" t="n"/>
      <c r="H174" s="29" t="n"/>
      <c r="I174" s="29" t="n"/>
    </row>
    <row r="175">
      <c r="A175" s="31" t="n"/>
      <c r="B175" s="29" t="n"/>
      <c r="C175" s="29" t="n"/>
      <c r="D175" s="35" t="n"/>
      <c r="E175" s="35" t="n"/>
      <c r="F175" s="36">
        <f>IF(OR(D175="",E175=""),"",E175-D175)</f>
        <v/>
      </c>
      <c r="G175" s="29" t="n"/>
      <c r="H175" s="29" t="n"/>
      <c r="I175" s="29" t="n"/>
    </row>
    <row r="176">
      <c r="A176" s="31" t="n"/>
      <c r="B176" s="29" t="n"/>
      <c r="C176" s="29" t="n"/>
      <c r="D176" s="35" t="n"/>
      <c r="E176" s="35" t="n"/>
      <c r="F176" s="36">
        <f>IF(OR(D176="",E176=""),"",E176-D176)</f>
        <v/>
      </c>
      <c r="G176" s="29" t="n"/>
      <c r="H176" s="29" t="n"/>
      <c r="I176" s="29" t="n"/>
    </row>
    <row r="177">
      <c r="A177" s="31" t="n"/>
      <c r="B177" s="29" t="n"/>
      <c r="C177" s="29" t="n"/>
      <c r="D177" s="35" t="n"/>
      <c r="E177" s="35" t="n"/>
      <c r="F177" s="36">
        <f>IF(OR(D177="",E177=""),"",E177-D177)</f>
        <v/>
      </c>
      <c r="G177" s="29" t="n"/>
      <c r="H177" s="29" t="n"/>
      <c r="I177" s="29" t="n"/>
    </row>
    <row r="178">
      <c r="A178" s="31" t="n"/>
      <c r="B178" s="29" t="n"/>
      <c r="C178" s="29" t="n"/>
      <c r="D178" s="35" t="n"/>
      <c r="E178" s="35" t="n"/>
      <c r="F178" s="36">
        <f>IF(OR(D178="",E178=""),"",E178-D178)</f>
        <v/>
      </c>
      <c r="G178" s="29" t="n"/>
      <c r="H178" s="29" t="n"/>
      <c r="I178" s="29" t="n"/>
    </row>
    <row r="179">
      <c r="A179" s="31" t="n"/>
      <c r="B179" s="29" t="n"/>
      <c r="C179" s="29" t="n"/>
      <c r="D179" s="35" t="n"/>
      <c r="E179" s="35" t="n"/>
      <c r="F179" s="36">
        <f>IF(OR(D179="",E179=""),"",E179-D179)</f>
        <v/>
      </c>
      <c r="G179" s="29" t="n"/>
      <c r="H179" s="29" t="n"/>
      <c r="I179" s="29" t="n"/>
    </row>
    <row r="180">
      <c r="A180" s="31" t="n"/>
      <c r="B180" s="29" t="n"/>
      <c r="C180" s="29" t="n"/>
      <c r="D180" s="35" t="n"/>
      <c r="E180" s="35" t="n"/>
      <c r="F180" s="36">
        <f>IF(OR(D180="",E180=""),"",E180-D180)</f>
        <v/>
      </c>
      <c r="G180" s="29" t="n"/>
      <c r="H180" s="29" t="n"/>
      <c r="I180" s="29" t="n"/>
    </row>
    <row r="181">
      <c r="A181" s="31" t="n"/>
      <c r="B181" s="29" t="n"/>
      <c r="C181" s="29" t="n"/>
      <c r="D181" s="35" t="n"/>
      <c r="E181" s="35" t="n"/>
      <c r="F181" s="36">
        <f>IF(OR(D181="",E181=""),"",E181-D181)</f>
        <v/>
      </c>
      <c r="G181" s="29" t="n"/>
      <c r="H181" s="29" t="n"/>
      <c r="I181" s="29" t="n"/>
    </row>
    <row r="182">
      <c r="A182" s="31" t="n"/>
      <c r="B182" s="29" t="n"/>
      <c r="C182" s="29" t="n"/>
      <c r="D182" s="35" t="n"/>
      <c r="E182" s="35" t="n"/>
      <c r="F182" s="36">
        <f>IF(OR(D182="",E182=""),"",E182-D182)</f>
        <v/>
      </c>
      <c r="G182" s="29" t="n"/>
      <c r="H182" s="29" t="n"/>
      <c r="I182" s="29" t="n"/>
    </row>
    <row r="183">
      <c r="A183" s="31" t="n"/>
      <c r="B183" s="29" t="n"/>
      <c r="C183" s="29" t="n"/>
      <c r="D183" s="35" t="n"/>
      <c r="E183" s="35" t="n"/>
      <c r="F183" s="36">
        <f>IF(OR(D183="",E183=""),"",E183-D183)</f>
        <v/>
      </c>
      <c r="G183" s="29" t="n"/>
      <c r="H183" s="29" t="n"/>
      <c r="I183" s="29" t="n"/>
    </row>
    <row r="184">
      <c r="A184" s="31" t="n"/>
      <c r="B184" s="29" t="n"/>
      <c r="C184" s="29" t="n"/>
      <c r="D184" s="35" t="n"/>
      <c r="E184" s="35" t="n"/>
      <c r="F184" s="36">
        <f>IF(OR(D184="",E184=""),"",E184-D184)</f>
        <v/>
      </c>
      <c r="G184" s="29" t="n"/>
      <c r="H184" s="29" t="n"/>
      <c r="I184" s="29" t="n"/>
    </row>
    <row r="185">
      <c r="A185" s="31" t="n"/>
      <c r="B185" s="29" t="n"/>
      <c r="C185" s="29" t="n"/>
      <c r="D185" s="35" t="n"/>
      <c r="E185" s="35" t="n"/>
      <c r="F185" s="36">
        <f>IF(OR(D185="",E185=""),"",E185-D185)</f>
        <v/>
      </c>
      <c r="G185" s="29" t="n"/>
      <c r="H185" s="29" t="n"/>
      <c r="I185" s="29" t="n"/>
    </row>
    <row r="186">
      <c r="A186" s="31" t="n"/>
      <c r="B186" s="29" t="n"/>
      <c r="C186" s="29" t="n"/>
      <c r="D186" s="35" t="n"/>
      <c r="E186" s="35" t="n"/>
      <c r="F186" s="36">
        <f>IF(OR(D186="",E186=""),"",E186-D186)</f>
        <v/>
      </c>
      <c r="G186" s="29" t="n"/>
      <c r="H186" s="29" t="n"/>
      <c r="I186" s="29" t="n"/>
    </row>
    <row r="187">
      <c r="A187" s="31" t="n"/>
      <c r="B187" s="29" t="n"/>
      <c r="C187" s="29" t="n"/>
      <c r="D187" s="35" t="n"/>
      <c r="E187" s="35" t="n"/>
      <c r="F187" s="36">
        <f>IF(OR(D187="",E187=""),"",E187-D187)</f>
        <v/>
      </c>
      <c r="G187" s="29" t="n"/>
      <c r="H187" s="29" t="n"/>
      <c r="I187" s="29" t="n"/>
    </row>
    <row r="188">
      <c r="A188" s="31" t="n"/>
      <c r="B188" s="29" t="n"/>
      <c r="C188" s="29" t="n"/>
      <c r="D188" s="35" t="n"/>
      <c r="E188" s="35" t="n"/>
      <c r="F188" s="36">
        <f>IF(OR(D188="",E188=""),"",E188-D188)</f>
        <v/>
      </c>
      <c r="G188" s="29" t="n"/>
      <c r="H188" s="29" t="n"/>
      <c r="I188" s="29" t="n"/>
    </row>
    <row r="189">
      <c r="A189" s="31" t="n"/>
      <c r="B189" s="29" t="n"/>
      <c r="C189" s="29" t="n"/>
      <c r="D189" s="35" t="n"/>
      <c r="E189" s="35" t="n"/>
      <c r="F189" s="36">
        <f>IF(OR(D189="",E189=""),"",E189-D189)</f>
        <v/>
      </c>
      <c r="G189" s="29" t="n"/>
      <c r="H189" s="29" t="n"/>
      <c r="I189" s="29" t="n"/>
    </row>
    <row r="190">
      <c r="A190" s="31" t="n"/>
      <c r="B190" s="29" t="n"/>
      <c r="C190" s="29" t="n"/>
      <c r="D190" s="35" t="n"/>
      <c r="E190" s="35" t="n"/>
      <c r="F190" s="36">
        <f>IF(OR(D190="",E190=""),"",E190-D190)</f>
        <v/>
      </c>
      <c r="G190" s="29" t="n"/>
      <c r="H190" s="29" t="n"/>
      <c r="I190" s="29" t="n"/>
    </row>
    <row r="191">
      <c r="A191" s="31" t="n"/>
      <c r="B191" s="29" t="n"/>
      <c r="C191" s="29" t="n"/>
      <c r="D191" s="35" t="n"/>
      <c r="E191" s="35" t="n"/>
      <c r="F191" s="36">
        <f>IF(OR(D191="",E191=""),"",E191-D191)</f>
        <v/>
      </c>
      <c r="G191" s="29" t="n"/>
      <c r="H191" s="29" t="n"/>
      <c r="I191" s="29" t="n"/>
    </row>
    <row r="192">
      <c r="A192" s="31" t="n"/>
      <c r="B192" s="29" t="n"/>
      <c r="C192" s="29" t="n"/>
      <c r="D192" s="35" t="n"/>
      <c r="E192" s="35" t="n"/>
      <c r="F192" s="36">
        <f>IF(OR(D192="",E192=""),"",E192-D192)</f>
        <v/>
      </c>
      <c r="G192" s="29" t="n"/>
      <c r="H192" s="29" t="n"/>
      <c r="I192" s="29" t="n"/>
    </row>
    <row r="193">
      <c r="A193" s="31" t="n"/>
      <c r="B193" s="29" t="n"/>
      <c r="C193" s="29" t="n"/>
      <c r="D193" s="35" t="n"/>
      <c r="E193" s="35" t="n"/>
      <c r="F193" s="36">
        <f>IF(OR(D193="",E193=""),"",E193-D193)</f>
        <v/>
      </c>
      <c r="G193" s="29" t="n"/>
      <c r="H193" s="29" t="n"/>
      <c r="I193" s="29" t="n"/>
    </row>
    <row r="194">
      <c r="A194" s="31" t="n"/>
      <c r="B194" s="29" t="n"/>
      <c r="C194" s="29" t="n"/>
      <c r="D194" s="35" t="n"/>
      <c r="E194" s="35" t="n"/>
      <c r="F194" s="36">
        <f>IF(OR(D194="",E194=""),"",E194-D194)</f>
        <v/>
      </c>
      <c r="G194" s="29" t="n"/>
      <c r="H194" s="29" t="n"/>
      <c r="I194" s="29" t="n"/>
    </row>
    <row r="195">
      <c r="A195" s="31" t="n"/>
      <c r="B195" s="29" t="n"/>
      <c r="C195" s="29" t="n"/>
      <c r="D195" s="35" t="n"/>
      <c r="E195" s="35" t="n"/>
      <c r="F195" s="36">
        <f>IF(OR(D195="",E195=""),"",E195-D195)</f>
        <v/>
      </c>
      <c r="G195" s="29" t="n"/>
      <c r="H195" s="29" t="n"/>
      <c r="I195" s="29" t="n"/>
    </row>
    <row r="196">
      <c r="A196" s="31" t="n"/>
      <c r="B196" s="29" t="n"/>
      <c r="C196" s="29" t="n"/>
      <c r="D196" s="35" t="n"/>
      <c r="E196" s="35" t="n"/>
      <c r="F196" s="36">
        <f>IF(OR(D196="",E196=""),"",E196-D196)</f>
        <v/>
      </c>
      <c r="G196" s="29" t="n"/>
      <c r="H196" s="29" t="n"/>
      <c r="I196" s="29" t="n"/>
    </row>
    <row r="197">
      <c r="A197" s="31" t="n"/>
      <c r="B197" s="29" t="n"/>
      <c r="C197" s="29" t="n"/>
      <c r="D197" s="35" t="n"/>
      <c r="E197" s="35" t="n"/>
      <c r="F197" s="36">
        <f>IF(OR(D197="",E197=""),"",E197-D197)</f>
        <v/>
      </c>
      <c r="G197" s="29" t="n"/>
      <c r="H197" s="29" t="n"/>
      <c r="I197" s="29" t="n"/>
    </row>
    <row r="198">
      <c r="A198" s="31" t="n"/>
      <c r="B198" s="29" t="n"/>
      <c r="C198" s="29" t="n"/>
      <c r="D198" s="35" t="n"/>
      <c r="E198" s="35" t="n"/>
      <c r="F198" s="36">
        <f>IF(OR(D198="",E198=""),"",E198-D198)</f>
        <v/>
      </c>
      <c r="G198" s="29" t="n"/>
      <c r="H198" s="29" t="n"/>
      <c r="I198" s="29" t="n"/>
    </row>
    <row r="199">
      <c r="A199" s="31" t="n"/>
      <c r="B199" s="29" t="n"/>
      <c r="C199" s="29" t="n"/>
      <c r="D199" s="35" t="n"/>
      <c r="E199" s="35" t="n"/>
      <c r="F199" s="36">
        <f>IF(OR(D199="",E199=""),"",E199-D199)</f>
        <v/>
      </c>
      <c r="G199" s="29" t="n"/>
      <c r="H199" s="29" t="n"/>
      <c r="I199" s="29" t="n"/>
    </row>
    <row r="200">
      <c r="A200" s="31" t="n"/>
      <c r="B200" s="29" t="n"/>
      <c r="C200" s="29" t="n"/>
      <c r="D200" s="35" t="n"/>
      <c r="E200" s="35" t="n"/>
      <c r="F200" s="36">
        <f>IF(OR(D200="",E200=""),"",E200-D200)</f>
        <v/>
      </c>
      <c r="G200" s="29" t="n"/>
      <c r="H200" s="29" t="n"/>
      <c r="I200" s="29" t="n"/>
    </row>
    <row r="201">
      <c r="A201" s="31" t="n"/>
      <c r="B201" s="29" t="n"/>
      <c r="C201" s="29" t="n"/>
      <c r="D201" s="35" t="n"/>
      <c r="E201" s="35" t="n"/>
      <c r="F201" s="36">
        <f>IF(OR(D201="",E201=""),"",E201-D201)</f>
        <v/>
      </c>
      <c r="G201" s="29" t="n"/>
      <c r="H201" s="29" t="n"/>
      <c r="I201" s="29" t="n"/>
    </row>
    <row r="202">
      <c r="A202" s="31" t="n"/>
      <c r="B202" s="29" t="n"/>
      <c r="C202" s="29" t="n"/>
      <c r="D202" s="35" t="n"/>
      <c r="E202" s="35" t="n"/>
      <c r="F202" s="36">
        <f>IF(OR(D202="",E202=""),"",E202-D202)</f>
        <v/>
      </c>
      <c r="G202" s="29" t="n"/>
      <c r="H202" s="29" t="n"/>
      <c r="I202" s="29" t="n"/>
    </row>
    <row r="203">
      <c r="A203" s="31" t="n"/>
      <c r="B203" s="29" t="n"/>
      <c r="C203" s="29" t="n"/>
      <c r="D203" s="35" t="n"/>
      <c r="E203" s="35" t="n"/>
      <c r="F203" s="36">
        <f>IF(OR(D203="",E203=""),"",E203-D203)</f>
        <v/>
      </c>
      <c r="G203" s="29" t="n"/>
      <c r="H203" s="29" t="n"/>
      <c r="I203" s="29" t="n"/>
    </row>
    <row r="204">
      <c r="A204" s="31" t="n"/>
      <c r="B204" s="29" t="n"/>
      <c r="C204" s="29" t="n"/>
      <c r="D204" s="35" t="n"/>
      <c r="E204" s="35" t="n"/>
      <c r="F204" s="36">
        <f>IF(OR(D204="",E204=""),"",E204-D204)</f>
        <v/>
      </c>
      <c r="G204" s="29" t="n"/>
      <c r="H204" s="29" t="n"/>
      <c r="I204" s="29" t="n"/>
    </row>
    <row r="205">
      <c r="A205" s="31" t="n"/>
      <c r="B205" s="29" t="n"/>
      <c r="C205" s="29" t="n"/>
      <c r="D205" s="35" t="n"/>
      <c r="E205" s="35" t="n"/>
      <c r="F205" s="36">
        <f>IF(OR(D205="",E205=""),"",E205-D205)</f>
        <v/>
      </c>
      <c r="G205" s="29" t="n"/>
      <c r="H205" s="29" t="n"/>
      <c r="I205" s="29" t="n"/>
    </row>
    <row r="206">
      <c r="A206" s="31" t="n"/>
      <c r="B206" s="29" t="n"/>
      <c r="C206" s="29" t="n"/>
      <c r="D206" s="35" t="n"/>
      <c r="E206" s="35" t="n"/>
      <c r="F206" s="36">
        <f>IF(OR(D206="",E206=""),"",E206-D206)</f>
        <v/>
      </c>
      <c r="G206" s="29" t="n"/>
      <c r="H206" s="29" t="n"/>
      <c r="I206" s="29" t="n"/>
    </row>
    <row r="207">
      <c r="A207" s="31" t="n"/>
      <c r="B207" s="29" t="n"/>
      <c r="C207" s="29" t="n"/>
      <c r="D207" s="35" t="n"/>
      <c r="E207" s="35" t="n"/>
      <c r="F207" s="36">
        <f>IF(OR(D207="",E207=""),"",E207-D207)</f>
        <v/>
      </c>
      <c r="G207" s="29" t="n"/>
      <c r="H207" s="29" t="n"/>
      <c r="I207" s="29" t="n"/>
    </row>
    <row r="208">
      <c r="A208" s="31" t="n"/>
      <c r="B208" s="29" t="n"/>
      <c r="C208" s="29" t="n"/>
      <c r="D208" s="35" t="n"/>
      <c r="E208" s="35" t="n"/>
      <c r="F208" s="36">
        <f>IF(OR(D208="",E208=""),"",E208-D208)</f>
        <v/>
      </c>
      <c r="G208" s="29" t="n"/>
      <c r="H208" s="29" t="n"/>
      <c r="I208" s="29" t="n"/>
    </row>
    <row r="209">
      <c r="A209" s="31" t="n"/>
      <c r="B209" s="29" t="n"/>
      <c r="C209" s="29" t="n"/>
      <c r="D209" s="35" t="n"/>
      <c r="E209" s="35" t="n"/>
      <c r="F209" s="36">
        <f>IF(OR(D209="",E209=""),"",E209-D209)</f>
        <v/>
      </c>
      <c r="G209" s="29" t="n"/>
      <c r="H209" s="29" t="n"/>
      <c r="I209" s="29" t="n"/>
    </row>
    <row r="210">
      <c r="A210" s="31" t="n"/>
      <c r="B210" s="29" t="n"/>
      <c r="C210" s="29" t="n"/>
      <c r="D210" s="35" t="n"/>
      <c r="E210" s="35" t="n"/>
      <c r="F210" s="36">
        <f>IF(OR(D210="",E210=""),"",E210-D210)</f>
        <v/>
      </c>
      <c r="G210" s="29" t="n"/>
      <c r="H210" s="29" t="n"/>
      <c r="I210" s="29" t="n"/>
    </row>
    <row r="211">
      <c r="A211" s="31" t="n"/>
      <c r="B211" s="29" t="n"/>
      <c r="C211" s="29" t="n"/>
      <c r="D211" s="35" t="n"/>
      <c r="E211" s="35" t="n"/>
      <c r="F211" s="36">
        <f>IF(OR(D211="",E211=""),"",E211-D211)</f>
        <v/>
      </c>
      <c r="G211" s="29" t="n"/>
      <c r="H211" s="29" t="n"/>
      <c r="I211" s="29" t="n"/>
    </row>
    <row r="212">
      <c r="A212" s="31" t="n"/>
      <c r="B212" s="29" t="n"/>
      <c r="C212" s="29" t="n"/>
      <c r="D212" s="35" t="n"/>
      <c r="E212" s="35" t="n"/>
      <c r="F212" s="36">
        <f>IF(OR(D212="",E212=""),"",E212-D212)</f>
        <v/>
      </c>
      <c r="G212" s="29" t="n"/>
      <c r="H212" s="29" t="n"/>
      <c r="I212" s="29" t="n"/>
    </row>
    <row r="213">
      <c r="A213" s="31" t="n"/>
      <c r="B213" s="29" t="n"/>
      <c r="C213" s="29" t="n"/>
      <c r="D213" s="35" t="n"/>
      <c r="E213" s="35" t="n"/>
      <c r="F213" s="36">
        <f>IF(OR(D213="",E213=""),"",E213-D213)</f>
        <v/>
      </c>
      <c r="G213" s="29" t="n"/>
      <c r="H213" s="29" t="n"/>
      <c r="I213" s="29" t="n"/>
    </row>
    <row r="214">
      <c r="A214" s="31" t="n"/>
      <c r="B214" s="29" t="n"/>
      <c r="C214" s="29" t="n"/>
      <c r="D214" s="35" t="n"/>
      <c r="E214" s="35" t="n"/>
      <c r="F214" s="36">
        <f>IF(OR(D214="",E214=""),"",E214-D214)</f>
        <v/>
      </c>
      <c r="G214" s="29" t="n"/>
      <c r="H214" s="29" t="n"/>
      <c r="I214" s="29" t="n"/>
    </row>
    <row r="215">
      <c r="A215" s="31" t="n"/>
      <c r="B215" s="29" t="n"/>
      <c r="C215" s="29" t="n"/>
      <c r="D215" s="35" t="n"/>
      <c r="E215" s="35" t="n"/>
      <c r="F215" s="36">
        <f>IF(OR(D215="",E215=""),"",E215-D215)</f>
        <v/>
      </c>
      <c r="G215" s="29" t="n"/>
      <c r="H215" s="29" t="n"/>
      <c r="I215" s="29" t="n"/>
    </row>
    <row r="216">
      <c r="A216" s="31" t="n"/>
      <c r="B216" s="29" t="n"/>
      <c r="C216" s="29" t="n"/>
      <c r="D216" s="35" t="n"/>
      <c r="E216" s="35" t="n"/>
      <c r="F216" s="36">
        <f>IF(OR(D216="",E216=""),"",E216-D216)</f>
        <v/>
      </c>
      <c r="G216" s="29" t="n"/>
      <c r="H216" s="29" t="n"/>
      <c r="I216" s="29" t="n"/>
    </row>
    <row r="217">
      <c r="A217" s="31" t="n"/>
      <c r="B217" s="29" t="n"/>
      <c r="C217" s="29" t="n"/>
      <c r="D217" s="35" t="n"/>
      <c r="E217" s="35" t="n"/>
      <c r="F217" s="36">
        <f>IF(OR(D217="",E217=""),"",E217-D217)</f>
        <v/>
      </c>
      <c r="G217" s="29" t="n"/>
      <c r="H217" s="29" t="n"/>
      <c r="I217" s="29" t="n"/>
    </row>
    <row r="218">
      <c r="A218" s="31" t="n"/>
      <c r="B218" s="29" t="n"/>
      <c r="C218" s="29" t="n"/>
      <c r="D218" s="35" t="n"/>
      <c r="E218" s="35" t="n"/>
      <c r="F218" s="36">
        <f>IF(OR(D218="",E218=""),"",E218-D218)</f>
        <v/>
      </c>
      <c r="G218" s="29" t="n"/>
      <c r="H218" s="29" t="n"/>
      <c r="I218" s="29" t="n"/>
    </row>
    <row r="219">
      <c r="A219" s="31" t="n"/>
      <c r="B219" s="29" t="n"/>
      <c r="C219" s="29" t="n"/>
      <c r="D219" s="35" t="n"/>
      <c r="E219" s="35" t="n"/>
      <c r="F219" s="36">
        <f>IF(OR(D219="",E219=""),"",E219-D219)</f>
        <v/>
      </c>
      <c r="G219" s="29" t="n"/>
      <c r="H219" s="29" t="n"/>
      <c r="I219" s="29" t="n"/>
    </row>
    <row r="220">
      <c r="A220" s="31" t="n"/>
      <c r="B220" s="29" t="n"/>
      <c r="C220" s="29" t="n"/>
      <c r="D220" s="35" t="n"/>
      <c r="E220" s="35" t="n"/>
      <c r="F220" s="36">
        <f>IF(OR(D220="",E220=""),"",E220-D220)</f>
        <v/>
      </c>
      <c r="G220" s="29" t="n"/>
      <c r="H220" s="29" t="n"/>
      <c r="I220" s="29" t="n"/>
    </row>
    <row r="221">
      <c r="A221" s="31" t="n"/>
      <c r="B221" s="29" t="n"/>
      <c r="C221" s="29" t="n"/>
      <c r="D221" s="35" t="n"/>
      <c r="E221" s="35" t="n"/>
      <c r="F221" s="36">
        <f>IF(OR(D221="",E221=""),"",E221-D221)</f>
        <v/>
      </c>
      <c r="G221" s="29" t="n"/>
      <c r="H221" s="29" t="n"/>
      <c r="I221" s="29" t="n"/>
    </row>
    <row r="222">
      <c r="A222" s="31" t="n"/>
      <c r="B222" s="29" t="n"/>
      <c r="C222" s="29" t="n"/>
      <c r="D222" s="35" t="n"/>
      <c r="E222" s="35" t="n"/>
      <c r="F222" s="36">
        <f>IF(OR(D222="",E222=""),"",E222-D222)</f>
        <v/>
      </c>
      <c r="G222" s="29" t="n"/>
      <c r="H222" s="29" t="n"/>
      <c r="I222" s="29" t="n"/>
    </row>
    <row r="223">
      <c r="A223" s="31" t="n"/>
      <c r="B223" s="29" t="n"/>
      <c r="C223" s="29" t="n"/>
      <c r="D223" s="35" t="n"/>
      <c r="E223" s="35" t="n"/>
      <c r="F223" s="36">
        <f>IF(OR(D223="",E223=""),"",E223-D223)</f>
        <v/>
      </c>
      <c r="G223" s="29" t="n"/>
      <c r="H223" s="29" t="n"/>
      <c r="I223" s="29" t="n"/>
    </row>
    <row r="224">
      <c r="A224" s="31" t="n"/>
      <c r="B224" s="29" t="n"/>
      <c r="C224" s="29" t="n"/>
      <c r="D224" s="35" t="n"/>
      <c r="E224" s="35" t="n"/>
      <c r="F224" s="36">
        <f>IF(OR(D224="",E224=""),"",E224-D224)</f>
        <v/>
      </c>
      <c r="G224" s="29" t="n"/>
      <c r="H224" s="29" t="n"/>
      <c r="I224" s="29" t="n"/>
    </row>
    <row r="225">
      <c r="A225" s="31" t="n"/>
      <c r="B225" s="29" t="n"/>
      <c r="C225" s="29" t="n"/>
      <c r="D225" s="35" t="n"/>
      <c r="E225" s="35" t="n"/>
      <c r="F225" s="36">
        <f>IF(OR(D225="",E225=""),"",E225-D225)</f>
        <v/>
      </c>
      <c r="G225" s="29" t="n"/>
      <c r="H225" s="29" t="n"/>
      <c r="I225" s="29" t="n"/>
    </row>
    <row r="226">
      <c r="A226" s="31" t="n"/>
      <c r="B226" s="29" t="n"/>
      <c r="C226" s="29" t="n"/>
      <c r="D226" s="35" t="n"/>
      <c r="E226" s="35" t="n"/>
      <c r="F226" s="36">
        <f>IF(OR(D226="",E226=""),"",E226-D226)</f>
        <v/>
      </c>
      <c r="G226" s="29" t="n"/>
      <c r="H226" s="29" t="n"/>
      <c r="I226" s="29" t="n"/>
    </row>
    <row r="227">
      <c r="A227" s="31" t="n"/>
      <c r="B227" s="29" t="n"/>
      <c r="C227" s="29" t="n"/>
      <c r="D227" s="35" t="n"/>
      <c r="E227" s="35" t="n"/>
      <c r="F227" s="36">
        <f>IF(OR(D227="",E227=""),"",E227-D227)</f>
        <v/>
      </c>
      <c r="G227" s="29" t="n"/>
      <c r="H227" s="29" t="n"/>
      <c r="I227" s="29" t="n"/>
    </row>
    <row r="228">
      <c r="A228" s="31" t="n"/>
      <c r="B228" s="29" t="n"/>
      <c r="C228" s="29" t="n"/>
      <c r="D228" s="35" t="n"/>
      <c r="E228" s="35" t="n"/>
      <c r="F228" s="36">
        <f>IF(OR(D228="",E228=""),"",E228-D228)</f>
        <v/>
      </c>
      <c r="G228" s="29" t="n"/>
      <c r="H228" s="29" t="n"/>
      <c r="I228" s="29" t="n"/>
    </row>
    <row r="229">
      <c r="A229" s="31" t="n"/>
      <c r="B229" s="29" t="n"/>
      <c r="C229" s="29" t="n"/>
      <c r="D229" s="35" t="n"/>
      <c r="E229" s="35" t="n"/>
      <c r="F229" s="36">
        <f>IF(OR(D229="",E229=""),"",E229-D229)</f>
        <v/>
      </c>
      <c r="G229" s="29" t="n"/>
      <c r="H229" s="29" t="n"/>
      <c r="I229" s="29" t="n"/>
    </row>
    <row r="230">
      <c r="A230" s="31" t="n"/>
      <c r="B230" s="29" t="n"/>
      <c r="C230" s="29" t="n"/>
      <c r="D230" s="35" t="n"/>
      <c r="E230" s="35" t="n"/>
      <c r="F230" s="36">
        <f>IF(OR(D230="",E230=""),"",E230-D230)</f>
        <v/>
      </c>
      <c r="G230" s="29" t="n"/>
      <c r="H230" s="29" t="n"/>
      <c r="I230" s="29" t="n"/>
    </row>
    <row r="231">
      <c r="A231" s="31" t="n"/>
      <c r="B231" s="29" t="n"/>
      <c r="C231" s="29" t="n"/>
      <c r="D231" s="35" t="n"/>
      <c r="E231" s="35" t="n"/>
      <c r="F231" s="36">
        <f>IF(OR(D231="",E231=""),"",E231-D231)</f>
        <v/>
      </c>
      <c r="G231" s="29" t="n"/>
      <c r="H231" s="29" t="n"/>
      <c r="I231" s="29" t="n"/>
    </row>
    <row r="232">
      <c r="A232" s="31" t="n"/>
      <c r="B232" s="29" t="n"/>
      <c r="C232" s="29" t="n"/>
      <c r="D232" s="35" t="n"/>
      <c r="E232" s="35" t="n"/>
      <c r="F232" s="36">
        <f>IF(OR(D232="",E232=""),"",E232-D232)</f>
        <v/>
      </c>
      <c r="G232" s="29" t="n"/>
      <c r="H232" s="29" t="n"/>
      <c r="I232" s="29" t="n"/>
    </row>
    <row r="233">
      <c r="A233" s="31" t="n"/>
      <c r="B233" s="29" t="n"/>
      <c r="C233" s="29" t="n"/>
      <c r="D233" s="35" t="n"/>
      <c r="E233" s="35" t="n"/>
      <c r="F233" s="36">
        <f>IF(OR(D233="",E233=""),"",E233-D233)</f>
        <v/>
      </c>
      <c r="G233" s="29" t="n"/>
      <c r="H233" s="29" t="n"/>
      <c r="I233" s="29" t="n"/>
    </row>
    <row r="234">
      <c r="A234" s="31" t="n"/>
      <c r="B234" s="29" t="n"/>
      <c r="C234" s="29" t="n"/>
      <c r="D234" s="35" t="n"/>
      <c r="E234" s="35" t="n"/>
      <c r="F234" s="36">
        <f>IF(OR(D234="",E234=""),"",E234-D234)</f>
        <v/>
      </c>
      <c r="G234" s="29" t="n"/>
      <c r="H234" s="29" t="n"/>
      <c r="I234" s="29" t="n"/>
    </row>
    <row r="235">
      <c r="A235" s="31" t="n"/>
      <c r="B235" s="29" t="n"/>
      <c r="C235" s="29" t="n"/>
      <c r="D235" s="35" t="n"/>
      <c r="E235" s="35" t="n"/>
      <c r="F235" s="36">
        <f>IF(OR(D235="",E235=""),"",E235-D235)</f>
        <v/>
      </c>
      <c r="G235" s="29" t="n"/>
      <c r="H235" s="29" t="n"/>
      <c r="I235" s="29" t="n"/>
    </row>
    <row r="236">
      <c r="A236" s="31" t="n"/>
      <c r="B236" s="29" t="n"/>
      <c r="C236" s="29" t="n"/>
      <c r="D236" s="35" t="n"/>
      <c r="E236" s="35" t="n"/>
      <c r="F236" s="36">
        <f>IF(OR(D236="",E236=""),"",E236-D236)</f>
        <v/>
      </c>
      <c r="G236" s="29" t="n"/>
      <c r="H236" s="29" t="n"/>
      <c r="I236" s="29" t="n"/>
    </row>
    <row r="237">
      <c r="A237" s="31" t="n"/>
      <c r="B237" s="29" t="n"/>
      <c r="C237" s="29" t="n"/>
      <c r="D237" s="35" t="n"/>
      <c r="E237" s="35" t="n"/>
      <c r="F237" s="36">
        <f>IF(OR(D237="",E237=""),"",E237-D237)</f>
        <v/>
      </c>
      <c r="G237" s="29" t="n"/>
      <c r="H237" s="29" t="n"/>
      <c r="I237" s="29" t="n"/>
    </row>
    <row r="238">
      <c r="A238" s="31" t="n"/>
      <c r="B238" s="29" t="n"/>
      <c r="C238" s="29" t="n"/>
      <c r="D238" s="35" t="n"/>
      <c r="E238" s="35" t="n"/>
      <c r="F238" s="36">
        <f>IF(OR(D238="",E238=""),"",E238-D238)</f>
        <v/>
      </c>
      <c r="G238" s="29" t="n"/>
      <c r="H238" s="29" t="n"/>
      <c r="I238" s="29" t="n"/>
    </row>
    <row r="239">
      <c r="A239" s="31" t="n"/>
      <c r="B239" s="29" t="n"/>
      <c r="C239" s="29" t="n"/>
      <c r="D239" s="35" t="n"/>
      <c r="E239" s="35" t="n"/>
      <c r="F239" s="36">
        <f>IF(OR(D239="",E239=""),"",E239-D239)</f>
        <v/>
      </c>
      <c r="G239" s="29" t="n"/>
      <c r="H239" s="29" t="n"/>
      <c r="I239" s="29" t="n"/>
    </row>
    <row r="240">
      <c r="A240" s="31" t="n"/>
      <c r="B240" s="29" t="n"/>
      <c r="C240" s="29" t="n"/>
      <c r="D240" s="35" t="n"/>
      <c r="E240" s="35" t="n"/>
      <c r="F240" s="36">
        <f>IF(OR(D240="",E240=""),"",E240-D240)</f>
        <v/>
      </c>
      <c r="G240" s="29" t="n"/>
      <c r="H240" s="29" t="n"/>
      <c r="I240" s="29" t="n"/>
    </row>
    <row r="241">
      <c r="A241" s="31" t="n"/>
      <c r="B241" s="29" t="n"/>
      <c r="C241" s="29" t="n"/>
      <c r="D241" s="35" t="n"/>
      <c r="E241" s="35" t="n"/>
      <c r="F241" s="36">
        <f>IF(OR(D241="",E241=""),"",E241-D241)</f>
        <v/>
      </c>
      <c r="G241" s="29" t="n"/>
      <c r="H241" s="29" t="n"/>
      <c r="I241" s="29" t="n"/>
    </row>
    <row r="242">
      <c r="A242" s="31" t="n"/>
      <c r="B242" s="29" t="n"/>
      <c r="C242" s="29" t="n"/>
      <c r="D242" s="35" t="n"/>
      <c r="E242" s="35" t="n"/>
      <c r="F242" s="36">
        <f>IF(OR(D242="",E242=""),"",E242-D242)</f>
        <v/>
      </c>
      <c r="G242" s="29" t="n"/>
      <c r="H242" s="29" t="n"/>
      <c r="I242" s="29" t="n"/>
    </row>
    <row r="243">
      <c r="A243" s="31" t="n"/>
      <c r="B243" s="29" t="n"/>
      <c r="C243" s="29" t="n"/>
      <c r="D243" s="35" t="n"/>
      <c r="E243" s="35" t="n"/>
      <c r="F243" s="36">
        <f>IF(OR(D243="",E243=""),"",E243-D243)</f>
        <v/>
      </c>
      <c r="G243" s="29" t="n"/>
      <c r="H243" s="29" t="n"/>
      <c r="I243" s="29" t="n"/>
    </row>
    <row r="244">
      <c r="A244" s="31" t="n"/>
      <c r="B244" s="29" t="n"/>
      <c r="C244" s="29" t="n"/>
      <c r="D244" s="35" t="n"/>
      <c r="E244" s="35" t="n"/>
      <c r="F244" s="36">
        <f>IF(OR(D244="",E244=""),"",E244-D244)</f>
        <v/>
      </c>
      <c r="G244" s="29" t="n"/>
      <c r="H244" s="29" t="n"/>
      <c r="I244" s="29" t="n"/>
    </row>
    <row r="245">
      <c r="A245" s="31" t="n"/>
      <c r="B245" s="29" t="n"/>
      <c r="C245" s="29" t="n"/>
      <c r="D245" s="35" t="n"/>
      <c r="E245" s="35" t="n"/>
      <c r="F245" s="36">
        <f>IF(OR(D245="",E245=""),"",E245-D245)</f>
        <v/>
      </c>
      <c r="G245" s="29" t="n"/>
      <c r="H245" s="29" t="n"/>
      <c r="I245" s="29" t="n"/>
    </row>
    <row r="246">
      <c r="A246" s="31" t="n"/>
      <c r="B246" s="29" t="n"/>
      <c r="C246" s="29" t="n"/>
      <c r="D246" s="35" t="n"/>
      <c r="E246" s="35" t="n"/>
      <c r="F246" s="36">
        <f>IF(OR(D246="",E246=""),"",E246-D246)</f>
        <v/>
      </c>
      <c r="G246" s="29" t="n"/>
      <c r="H246" s="29" t="n"/>
      <c r="I246" s="29" t="n"/>
    </row>
    <row r="247">
      <c r="A247" s="31" t="n"/>
      <c r="B247" s="29" t="n"/>
      <c r="C247" s="29" t="n"/>
      <c r="D247" s="35" t="n"/>
      <c r="E247" s="35" t="n"/>
      <c r="F247" s="36">
        <f>IF(OR(D247="",E247=""),"",E247-D247)</f>
        <v/>
      </c>
      <c r="G247" s="29" t="n"/>
      <c r="H247" s="29" t="n"/>
      <c r="I247" s="29" t="n"/>
    </row>
    <row r="248">
      <c r="A248" s="31" t="n"/>
      <c r="B248" s="29" t="n"/>
      <c r="C248" s="29" t="n"/>
      <c r="D248" s="35" t="n"/>
      <c r="E248" s="35" t="n"/>
      <c r="F248" s="36">
        <f>IF(OR(D248="",E248=""),"",E248-D248)</f>
        <v/>
      </c>
      <c r="G248" s="29" t="n"/>
      <c r="H248" s="29" t="n"/>
      <c r="I248" s="29" t="n"/>
    </row>
    <row r="249">
      <c r="A249" s="31" t="n"/>
      <c r="B249" s="29" t="n"/>
      <c r="C249" s="29" t="n"/>
      <c r="D249" s="35" t="n"/>
      <c r="E249" s="35" t="n"/>
      <c r="F249" s="36">
        <f>IF(OR(D249="",E249=""),"",E249-D249)</f>
        <v/>
      </c>
      <c r="G249" s="29" t="n"/>
      <c r="H249" s="29" t="n"/>
      <c r="I249" s="29" t="n"/>
    </row>
    <row r="250">
      <c r="A250" s="31" t="n"/>
      <c r="B250" s="29" t="n"/>
      <c r="C250" s="29" t="n"/>
      <c r="D250" s="35" t="n"/>
      <c r="E250" s="35" t="n"/>
      <c r="F250" s="36">
        <f>IF(OR(D250="",E250=""),"",E250-D250)</f>
        <v/>
      </c>
      <c r="G250" s="29" t="n"/>
      <c r="H250" s="29" t="n"/>
      <c r="I250" s="29" t="n"/>
    </row>
    <row r="251">
      <c r="A251" s="31" t="n"/>
      <c r="B251" s="29" t="n"/>
      <c r="C251" s="29" t="n"/>
      <c r="D251" s="35" t="n"/>
      <c r="E251" s="35" t="n"/>
      <c r="F251" s="36">
        <f>IF(OR(D251="",E251=""),"",E251-D251)</f>
        <v/>
      </c>
      <c r="G251" s="29" t="n"/>
      <c r="H251" s="29" t="n"/>
      <c r="I251" s="29" t="n"/>
    </row>
    <row r="252">
      <c r="A252" s="31" t="n"/>
      <c r="B252" s="29" t="n"/>
      <c r="C252" s="29" t="n"/>
      <c r="D252" s="35" t="n"/>
      <c r="E252" s="35" t="n"/>
      <c r="F252" s="36">
        <f>IF(OR(D252="",E252=""),"",E252-D252)</f>
        <v/>
      </c>
      <c r="G252" s="29" t="n"/>
      <c r="H252" s="29" t="n"/>
      <c r="I252" s="29" t="n"/>
    </row>
    <row r="253">
      <c r="A253" s="31" t="n"/>
      <c r="B253" s="29" t="n"/>
      <c r="C253" s="29" t="n"/>
      <c r="D253" s="35" t="n"/>
      <c r="E253" s="35" t="n"/>
      <c r="F253" s="36">
        <f>IF(OR(D253="",E253=""),"",E253-D253)</f>
        <v/>
      </c>
      <c r="G253" s="29" t="n"/>
      <c r="H253" s="29" t="n"/>
      <c r="I253" s="29" t="n"/>
    </row>
    <row r="254">
      <c r="A254" s="31" t="n"/>
      <c r="B254" s="29" t="n"/>
      <c r="C254" s="29" t="n"/>
      <c r="D254" s="35" t="n"/>
      <c r="E254" s="35" t="n"/>
      <c r="F254" s="36">
        <f>IF(OR(D254="",E254=""),"",E254-D254)</f>
        <v/>
      </c>
      <c r="G254" s="29" t="n"/>
      <c r="H254" s="29" t="n"/>
      <c r="I254" s="29" t="n"/>
    </row>
    <row r="255">
      <c r="A255" s="31" t="n"/>
      <c r="B255" s="29" t="n"/>
      <c r="C255" s="29" t="n"/>
      <c r="D255" s="35" t="n"/>
      <c r="E255" s="35" t="n"/>
      <c r="F255" s="36">
        <f>IF(OR(D255="",E255=""),"",E255-D255)</f>
        <v/>
      </c>
      <c r="G255" s="29" t="n"/>
      <c r="H255" s="29" t="n"/>
      <c r="I255" s="29" t="n"/>
    </row>
    <row r="256">
      <c r="A256" s="31" t="n"/>
      <c r="B256" s="29" t="n"/>
      <c r="C256" s="29" t="n"/>
      <c r="D256" s="35" t="n"/>
      <c r="E256" s="35" t="n"/>
      <c r="F256" s="36">
        <f>IF(OR(D256="",E256=""),"",E256-D256)</f>
        <v/>
      </c>
      <c r="G256" s="29" t="n"/>
      <c r="H256" s="29" t="n"/>
      <c r="I256" s="29" t="n"/>
    </row>
    <row r="257">
      <c r="A257" s="31" t="n"/>
      <c r="B257" s="29" t="n"/>
      <c r="C257" s="29" t="n"/>
      <c r="D257" s="35" t="n"/>
      <c r="E257" s="35" t="n"/>
      <c r="F257" s="36">
        <f>IF(OR(D257="",E257=""),"",E257-D257)</f>
        <v/>
      </c>
      <c r="G257" s="29" t="n"/>
      <c r="H257" s="29" t="n"/>
      <c r="I257" s="29" t="n"/>
    </row>
    <row r="258">
      <c r="A258" s="31" t="n"/>
      <c r="B258" s="29" t="n"/>
      <c r="C258" s="29" t="n"/>
      <c r="D258" s="35" t="n"/>
      <c r="E258" s="35" t="n"/>
      <c r="F258" s="36">
        <f>IF(OR(D258="",E258=""),"",E258-D258)</f>
        <v/>
      </c>
      <c r="G258" s="29" t="n"/>
      <c r="H258" s="29" t="n"/>
      <c r="I258" s="29" t="n"/>
    </row>
    <row r="259">
      <c r="A259" s="31" t="n"/>
      <c r="B259" s="29" t="n"/>
      <c r="C259" s="29" t="n"/>
      <c r="D259" s="35" t="n"/>
      <c r="E259" s="35" t="n"/>
      <c r="F259" s="36">
        <f>IF(OR(D259="",E259=""),"",E259-D259)</f>
        <v/>
      </c>
      <c r="G259" s="29" t="n"/>
      <c r="H259" s="29" t="n"/>
      <c r="I259" s="29" t="n"/>
    </row>
    <row r="260">
      <c r="A260" s="31" t="n"/>
      <c r="B260" s="29" t="n"/>
      <c r="C260" s="29" t="n"/>
      <c r="D260" s="35" t="n"/>
      <c r="E260" s="35" t="n"/>
      <c r="F260" s="36">
        <f>IF(OR(D260="",E260=""),"",E260-D260)</f>
        <v/>
      </c>
      <c r="G260" s="29" t="n"/>
      <c r="H260" s="29" t="n"/>
      <c r="I260" s="29" t="n"/>
    </row>
    <row r="261">
      <c r="A261" s="31" t="n"/>
      <c r="B261" s="29" t="n"/>
      <c r="C261" s="29" t="n"/>
      <c r="D261" s="35" t="n"/>
      <c r="E261" s="35" t="n"/>
      <c r="F261" s="36">
        <f>IF(OR(D261="",E261=""),"",E261-D261)</f>
        <v/>
      </c>
      <c r="G261" s="29" t="n"/>
      <c r="H261" s="29" t="n"/>
      <c r="I261" s="29" t="n"/>
    </row>
    <row r="262">
      <c r="A262" s="31" t="n"/>
      <c r="B262" s="29" t="n"/>
      <c r="C262" s="29" t="n"/>
      <c r="D262" s="35" t="n"/>
      <c r="E262" s="35" t="n"/>
      <c r="F262" s="36">
        <f>IF(OR(D262="",E262=""),"",E262-D262)</f>
        <v/>
      </c>
      <c r="G262" s="29" t="n"/>
      <c r="H262" s="29" t="n"/>
      <c r="I262" s="29" t="n"/>
    </row>
    <row r="263">
      <c r="A263" s="31" t="n"/>
      <c r="B263" s="29" t="n"/>
      <c r="C263" s="29" t="n"/>
      <c r="D263" s="35" t="n"/>
      <c r="E263" s="35" t="n"/>
      <c r="F263" s="36">
        <f>IF(OR(D263="",E263=""),"",E263-D263)</f>
        <v/>
      </c>
      <c r="G263" s="29" t="n"/>
      <c r="H263" s="29" t="n"/>
      <c r="I263" s="29" t="n"/>
    </row>
    <row r="264">
      <c r="A264" s="31" t="n"/>
      <c r="B264" s="29" t="n"/>
      <c r="C264" s="29" t="n"/>
      <c r="D264" s="35" t="n"/>
      <c r="E264" s="35" t="n"/>
      <c r="F264" s="36">
        <f>IF(OR(D264="",E264=""),"",E264-D264)</f>
        <v/>
      </c>
      <c r="G264" s="29" t="n"/>
      <c r="H264" s="29" t="n"/>
      <c r="I264" s="29" t="n"/>
    </row>
    <row r="265">
      <c r="A265" s="31" t="n"/>
      <c r="B265" s="29" t="n"/>
      <c r="C265" s="29" t="n"/>
      <c r="D265" s="35" t="n"/>
      <c r="E265" s="35" t="n"/>
      <c r="F265" s="36">
        <f>IF(OR(D265="",E265=""),"",E265-D265)</f>
        <v/>
      </c>
      <c r="G265" s="29" t="n"/>
      <c r="H265" s="29" t="n"/>
      <c r="I265" s="29" t="n"/>
    </row>
    <row r="266">
      <c r="A266" s="31" t="n"/>
      <c r="B266" s="29" t="n"/>
      <c r="C266" s="29" t="n"/>
      <c r="D266" s="35" t="n"/>
      <c r="E266" s="35" t="n"/>
      <c r="F266" s="36">
        <f>IF(OR(D266="",E266=""),"",E266-D266)</f>
        <v/>
      </c>
      <c r="G266" s="29" t="n"/>
      <c r="H266" s="29" t="n"/>
      <c r="I266" s="29" t="n"/>
    </row>
    <row r="267">
      <c r="A267" s="31" t="n"/>
      <c r="B267" s="29" t="n"/>
      <c r="C267" s="29" t="n"/>
      <c r="D267" s="35" t="n"/>
      <c r="E267" s="35" t="n"/>
      <c r="F267" s="36">
        <f>IF(OR(D267="",E267=""),"",E267-D267)</f>
        <v/>
      </c>
      <c r="G267" s="29" t="n"/>
      <c r="H267" s="29" t="n"/>
      <c r="I267" s="29" t="n"/>
    </row>
    <row r="268">
      <c r="A268" s="31" t="n"/>
      <c r="B268" s="29" t="n"/>
      <c r="C268" s="29" t="n"/>
      <c r="D268" s="35" t="n"/>
      <c r="E268" s="35" t="n"/>
      <c r="F268" s="36">
        <f>IF(OR(D268="",E268=""),"",E268-D268)</f>
        <v/>
      </c>
      <c r="G268" s="29" t="n"/>
      <c r="H268" s="29" t="n"/>
      <c r="I268" s="29" t="n"/>
    </row>
    <row r="269">
      <c r="A269" s="31" t="n"/>
      <c r="B269" s="29" t="n"/>
      <c r="C269" s="29" t="n"/>
      <c r="D269" s="35" t="n"/>
      <c r="E269" s="35" t="n"/>
      <c r="F269" s="36">
        <f>IF(OR(D269="",E269=""),"",E269-D269)</f>
        <v/>
      </c>
      <c r="G269" s="29" t="n"/>
      <c r="H269" s="29" t="n"/>
      <c r="I269" s="29" t="n"/>
    </row>
    <row r="270">
      <c r="A270" s="31" t="n"/>
      <c r="B270" s="29" t="n"/>
      <c r="C270" s="29" t="n"/>
      <c r="D270" s="35" t="n"/>
      <c r="E270" s="35" t="n"/>
      <c r="F270" s="36">
        <f>IF(OR(D270="",E270=""),"",E270-D270)</f>
        <v/>
      </c>
      <c r="G270" s="29" t="n"/>
      <c r="H270" s="29" t="n"/>
      <c r="I270" s="29" t="n"/>
    </row>
    <row r="271">
      <c r="A271" s="31" t="n"/>
      <c r="B271" s="29" t="n"/>
      <c r="C271" s="29" t="n"/>
      <c r="D271" s="35" t="n"/>
      <c r="E271" s="35" t="n"/>
      <c r="F271" s="36">
        <f>IF(OR(D271="",E271=""),"",E271-D271)</f>
        <v/>
      </c>
      <c r="G271" s="29" t="n"/>
      <c r="H271" s="29" t="n"/>
      <c r="I271" s="29" t="n"/>
    </row>
    <row r="272">
      <c r="A272" s="31" t="n"/>
      <c r="B272" s="29" t="n"/>
      <c r="C272" s="29" t="n"/>
      <c r="D272" s="35" t="n"/>
      <c r="E272" s="35" t="n"/>
      <c r="F272" s="36">
        <f>IF(OR(D272="",E272=""),"",E272-D272)</f>
        <v/>
      </c>
      <c r="G272" s="29" t="n"/>
      <c r="H272" s="29" t="n"/>
      <c r="I272" s="29" t="n"/>
    </row>
    <row r="273">
      <c r="A273" s="31" t="n"/>
      <c r="B273" s="29" t="n"/>
      <c r="C273" s="29" t="n"/>
      <c r="D273" s="35" t="n"/>
      <c r="E273" s="35" t="n"/>
      <c r="F273" s="36">
        <f>IF(OR(D273="",E273=""),"",E273-D273)</f>
        <v/>
      </c>
      <c r="G273" s="29" t="n"/>
      <c r="H273" s="29" t="n"/>
      <c r="I273" s="29" t="n"/>
    </row>
    <row r="274">
      <c r="A274" s="31" t="n"/>
      <c r="B274" s="29" t="n"/>
      <c r="C274" s="29" t="n"/>
      <c r="D274" s="35" t="n"/>
      <c r="E274" s="35" t="n"/>
      <c r="F274" s="36">
        <f>IF(OR(D274="",E274=""),"",E274-D274)</f>
        <v/>
      </c>
      <c r="G274" s="29" t="n"/>
      <c r="H274" s="29" t="n"/>
      <c r="I274" s="29" t="n"/>
    </row>
    <row r="275">
      <c r="A275" s="31" t="n"/>
      <c r="B275" s="29" t="n"/>
      <c r="C275" s="29" t="n"/>
      <c r="D275" s="35" t="n"/>
      <c r="E275" s="35" t="n"/>
      <c r="F275" s="36">
        <f>IF(OR(D275="",E275=""),"",E275-D275)</f>
        <v/>
      </c>
      <c r="G275" s="29" t="n"/>
      <c r="H275" s="29" t="n"/>
      <c r="I275" s="29" t="n"/>
    </row>
    <row r="276">
      <c r="A276" s="31" t="n"/>
      <c r="B276" s="29" t="n"/>
      <c r="C276" s="29" t="n"/>
      <c r="D276" s="35" t="n"/>
      <c r="E276" s="35" t="n"/>
      <c r="F276" s="36">
        <f>IF(OR(D276="",E276=""),"",E276-D276)</f>
        <v/>
      </c>
      <c r="G276" s="29" t="n"/>
      <c r="H276" s="29" t="n"/>
      <c r="I276" s="29" t="n"/>
    </row>
    <row r="277">
      <c r="A277" s="31" t="n"/>
      <c r="B277" s="29" t="n"/>
      <c r="C277" s="29" t="n"/>
      <c r="D277" s="35" t="n"/>
      <c r="E277" s="35" t="n"/>
      <c r="F277" s="36">
        <f>IF(OR(D277="",E277=""),"",E277-D277)</f>
        <v/>
      </c>
      <c r="G277" s="29" t="n"/>
      <c r="H277" s="29" t="n"/>
      <c r="I277" s="29" t="n"/>
    </row>
    <row r="278">
      <c r="A278" s="31" t="n"/>
      <c r="B278" s="29" t="n"/>
      <c r="C278" s="29" t="n"/>
      <c r="D278" s="35" t="n"/>
      <c r="E278" s="35" t="n"/>
      <c r="F278" s="36">
        <f>IF(OR(D278="",E278=""),"",E278-D278)</f>
        <v/>
      </c>
      <c r="G278" s="29" t="n"/>
      <c r="H278" s="29" t="n"/>
      <c r="I278" s="29" t="n"/>
    </row>
    <row r="279">
      <c r="A279" s="31" t="n"/>
      <c r="B279" s="29" t="n"/>
      <c r="C279" s="29" t="n"/>
      <c r="D279" s="35" t="n"/>
      <c r="E279" s="35" t="n"/>
      <c r="F279" s="36">
        <f>IF(OR(D279="",E279=""),"",E279-D279)</f>
        <v/>
      </c>
      <c r="G279" s="29" t="n"/>
      <c r="H279" s="29" t="n"/>
      <c r="I279" s="29" t="n"/>
    </row>
    <row r="280">
      <c r="A280" s="31" t="n"/>
      <c r="B280" s="29" t="n"/>
      <c r="C280" s="29" t="n"/>
      <c r="D280" s="35" t="n"/>
      <c r="E280" s="35" t="n"/>
      <c r="F280" s="36">
        <f>IF(OR(D280="",E280=""),"",E280-D280)</f>
        <v/>
      </c>
      <c r="G280" s="29" t="n"/>
      <c r="H280" s="29" t="n"/>
      <c r="I280" s="29" t="n"/>
    </row>
    <row r="281">
      <c r="A281" s="31" t="n"/>
      <c r="B281" s="29" t="n"/>
      <c r="C281" s="29" t="n"/>
      <c r="D281" s="35" t="n"/>
      <c r="E281" s="35" t="n"/>
      <c r="F281" s="36">
        <f>IF(OR(D281="",E281=""),"",E281-D281)</f>
        <v/>
      </c>
      <c r="G281" s="29" t="n"/>
      <c r="H281" s="29" t="n"/>
      <c r="I281" s="29" t="n"/>
    </row>
    <row r="282">
      <c r="A282" s="31" t="n"/>
      <c r="B282" s="29" t="n"/>
      <c r="C282" s="29" t="n"/>
      <c r="D282" s="35" t="n"/>
      <c r="E282" s="35" t="n"/>
      <c r="F282" s="36">
        <f>IF(OR(D282="",E282=""),"",E282-D282)</f>
        <v/>
      </c>
      <c r="G282" s="29" t="n"/>
      <c r="H282" s="29" t="n"/>
      <c r="I282" s="29" t="n"/>
    </row>
    <row r="283">
      <c r="A283" s="31" t="n"/>
      <c r="B283" s="29" t="n"/>
      <c r="C283" s="29" t="n"/>
      <c r="D283" s="35" t="n"/>
      <c r="E283" s="35" t="n"/>
      <c r="F283" s="36">
        <f>IF(OR(D283="",E283=""),"",E283-D283)</f>
        <v/>
      </c>
      <c r="G283" s="29" t="n"/>
      <c r="H283" s="29" t="n"/>
      <c r="I283" s="29" t="n"/>
    </row>
    <row r="284">
      <c r="A284" s="31" t="n"/>
      <c r="B284" s="29" t="n"/>
      <c r="C284" s="29" t="n"/>
      <c r="D284" s="35" t="n"/>
      <c r="E284" s="35" t="n"/>
      <c r="F284" s="36">
        <f>IF(OR(D284="",E284=""),"",E284-D284)</f>
        <v/>
      </c>
      <c r="G284" s="29" t="n"/>
      <c r="H284" s="29" t="n"/>
      <c r="I284" s="29" t="n"/>
    </row>
    <row r="285">
      <c r="A285" s="31" t="n"/>
      <c r="B285" s="29" t="n"/>
      <c r="C285" s="29" t="n"/>
      <c r="D285" s="35" t="n"/>
      <c r="E285" s="35" t="n"/>
      <c r="F285" s="36">
        <f>IF(OR(D285="",E285=""),"",E285-D285)</f>
        <v/>
      </c>
      <c r="G285" s="29" t="n"/>
      <c r="H285" s="29" t="n"/>
      <c r="I285" s="29" t="n"/>
    </row>
    <row r="286">
      <c r="A286" s="31" t="n"/>
      <c r="B286" s="29" t="n"/>
      <c r="C286" s="29" t="n"/>
      <c r="D286" s="35" t="n"/>
      <c r="E286" s="35" t="n"/>
      <c r="F286" s="36">
        <f>IF(OR(D286="",E286=""),"",E286-D286)</f>
        <v/>
      </c>
      <c r="G286" s="29" t="n"/>
      <c r="H286" s="29" t="n"/>
      <c r="I286" s="29" t="n"/>
    </row>
    <row r="287">
      <c r="A287" s="31" t="n"/>
      <c r="B287" s="29" t="n"/>
      <c r="C287" s="29" t="n"/>
      <c r="D287" s="35" t="n"/>
      <c r="E287" s="35" t="n"/>
      <c r="F287" s="36">
        <f>IF(OR(D287="",E287=""),"",E287-D287)</f>
        <v/>
      </c>
      <c r="G287" s="29" t="n"/>
      <c r="H287" s="29" t="n"/>
      <c r="I287" s="29" t="n"/>
    </row>
    <row r="288">
      <c r="A288" s="31" t="n"/>
      <c r="B288" s="29" t="n"/>
      <c r="C288" s="29" t="n"/>
      <c r="D288" s="35" t="n"/>
      <c r="E288" s="35" t="n"/>
      <c r="F288" s="36">
        <f>IF(OR(D288="",E288=""),"",E288-D288)</f>
        <v/>
      </c>
      <c r="G288" s="29" t="n"/>
      <c r="H288" s="29" t="n"/>
      <c r="I288" s="29" t="n"/>
    </row>
    <row r="289">
      <c r="A289" s="31" t="n"/>
      <c r="B289" s="29" t="n"/>
      <c r="C289" s="29" t="n"/>
      <c r="D289" s="35" t="n"/>
      <c r="E289" s="35" t="n"/>
      <c r="F289" s="36">
        <f>IF(OR(D289="",E289=""),"",E289-D289)</f>
        <v/>
      </c>
      <c r="G289" s="29" t="n"/>
      <c r="H289" s="29" t="n"/>
      <c r="I289" s="29" t="n"/>
    </row>
    <row r="290">
      <c r="A290" s="31" t="n"/>
      <c r="B290" s="29" t="n"/>
      <c r="C290" s="29" t="n"/>
      <c r="D290" s="35" t="n"/>
      <c r="E290" s="35" t="n"/>
      <c r="F290" s="36">
        <f>IF(OR(D290="",E290=""),"",E290-D290)</f>
        <v/>
      </c>
      <c r="G290" s="29" t="n"/>
      <c r="H290" s="29" t="n"/>
      <c r="I290" s="29" t="n"/>
    </row>
    <row r="291">
      <c r="A291" s="31" t="n"/>
      <c r="B291" s="29" t="n"/>
      <c r="C291" s="29" t="n"/>
      <c r="D291" s="35" t="n"/>
      <c r="E291" s="35" t="n"/>
      <c r="F291" s="36">
        <f>IF(OR(D291="",E291=""),"",E291-D291)</f>
        <v/>
      </c>
      <c r="G291" s="29" t="n"/>
      <c r="H291" s="29" t="n"/>
      <c r="I291" s="29" t="n"/>
    </row>
    <row r="292">
      <c r="A292" s="31" t="n"/>
      <c r="B292" s="29" t="n"/>
      <c r="C292" s="29" t="n"/>
      <c r="D292" s="35" t="n"/>
      <c r="E292" s="35" t="n"/>
      <c r="F292" s="36">
        <f>IF(OR(D292="",E292=""),"",E292-D292)</f>
        <v/>
      </c>
      <c r="G292" s="29" t="n"/>
      <c r="H292" s="29" t="n"/>
      <c r="I292" s="29" t="n"/>
    </row>
    <row r="293">
      <c r="A293" s="31" t="n"/>
      <c r="B293" s="29" t="n"/>
      <c r="C293" s="29" t="n"/>
      <c r="D293" s="35" t="n"/>
      <c r="E293" s="35" t="n"/>
      <c r="F293" s="36">
        <f>IF(OR(D293="",E293=""),"",E293-D293)</f>
        <v/>
      </c>
      <c r="G293" s="29" t="n"/>
      <c r="H293" s="29" t="n"/>
      <c r="I293" s="29" t="n"/>
    </row>
    <row r="294">
      <c r="A294" s="31" t="n"/>
      <c r="B294" s="29" t="n"/>
      <c r="C294" s="29" t="n"/>
      <c r="D294" s="35" t="n"/>
      <c r="E294" s="35" t="n"/>
      <c r="F294" s="36">
        <f>IF(OR(D294="",E294=""),"",E294-D294)</f>
        <v/>
      </c>
      <c r="G294" s="29" t="n"/>
      <c r="H294" s="29" t="n"/>
      <c r="I294" s="29" t="n"/>
    </row>
    <row r="295">
      <c r="A295" s="31" t="n"/>
      <c r="B295" s="29" t="n"/>
      <c r="C295" s="29" t="n"/>
      <c r="D295" s="35" t="n"/>
      <c r="E295" s="35" t="n"/>
      <c r="F295" s="36">
        <f>IF(OR(D295="",E295=""),"",E295-D295)</f>
        <v/>
      </c>
      <c r="G295" s="29" t="n"/>
      <c r="H295" s="29" t="n"/>
      <c r="I295" s="29" t="n"/>
    </row>
    <row r="296">
      <c r="A296" s="31" t="n"/>
      <c r="B296" s="29" t="n"/>
      <c r="C296" s="29" t="n"/>
      <c r="D296" s="35" t="n"/>
      <c r="E296" s="35" t="n"/>
      <c r="F296" s="36">
        <f>IF(OR(D296="",E296=""),"",E296-D296)</f>
        <v/>
      </c>
      <c r="G296" s="29" t="n"/>
      <c r="H296" s="29" t="n"/>
      <c r="I296" s="29" t="n"/>
    </row>
    <row r="297">
      <c r="A297" s="31" t="n"/>
      <c r="B297" s="29" t="n"/>
      <c r="C297" s="29" t="n"/>
      <c r="D297" s="35" t="n"/>
      <c r="E297" s="35" t="n"/>
      <c r="F297" s="36">
        <f>IF(OR(D297="",E297=""),"",E297-D297)</f>
        <v/>
      </c>
      <c r="G297" s="29" t="n"/>
      <c r="H297" s="29" t="n"/>
      <c r="I297" s="29" t="n"/>
    </row>
    <row r="298">
      <c r="A298" s="31" t="n"/>
      <c r="B298" s="29" t="n"/>
      <c r="C298" s="29" t="n"/>
      <c r="D298" s="35" t="n"/>
      <c r="E298" s="35" t="n"/>
      <c r="F298" s="36">
        <f>IF(OR(D298="",E298=""),"",E298-D298)</f>
        <v/>
      </c>
      <c r="G298" s="29" t="n"/>
      <c r="H298" s="29" t="n"/>
      <c r="I298" s="29" t="n"/>
    </row>
    <row r="299">
      <c r="A299" s="31" t="n"/>
      <c r="B299" s="29" t="n"/>
      <c r="C299" s="29" t="n"/>
      <c r="D299" s="35" t="n"/>
      <c r="E299" s="35" t="n"/>
      <c r="F299" s="36">
        <f>IF(OR(D299="",E299=""),"",E299-D299)</f>
        <v/>
      </c>
      <c r="G299" s="29" t="n"/>
      <c r="H299" s="29" t="n"/>
      <c r="I299" s="29" t="n"/>
    </row>
    <row r="300">
      <c r="A300" s="31" t="n"/>
      <c r="B300" s="29" t="n"/>
      <c r="C300" s="29" t="n"/>
      <c r="D300" s="35" t="n"/>
      <c r="E300" s="35" t="n"/>
      <c r="F300" s="36">
        <f>IF(OR(D300="",E300=""),"",E300-D300)</f>
        <v/>
      </c>
      <c r="G300" s="29" t="n"/>
      <c r="H300" s="29" t="n"/>
      <c r="I300" s="29" t="n"/>
    </row>
    <row r="301">
      <c r="A301" s="31" t="n"/>
      <c r="B301" s="29" t="n"/>
      <c r="C301" s="29" t="n"/>
      <c r="D301" s="35" t="n"/>
      <c r="E301" s="35" t="n"/>
      <c r="F301" s="36">
        <f>IF(OR(D301="",E301=""),"",E301-D301)</f>
        <v/>
      </c>
      <c r="G301" s="29" t="n"/>
      <c r="H301" s="29" t="n"/>
      <c r="I301" s="29" t="n"/>
    </row>
    <row r="302">
      <c r="A302" s="31" t="n"/>
      <c r="B302" s="29" t="n"/>
      <c r="C302" s="29" t="n"/>
      <c r="D302" s="35" t="n"/>
      <c r="E302" s="35" t="n"/>
      <c r="F302" s="36">
        <f>IF(OR(D302="",E302=""),"",E302-D302)</f>
        <v/>
      </c>
      <c r="G302" s="29" t="n"/>
      <c r="H302" s="29" t="n"/>
      <c r="I302" s="29" t="n"/>
    </row>
    <row r="303">
      <c r="A303" s="31" t="n"/>
      <c r="B303" s="29" t="n"/>
      <c r="C303" s="29" t="n"/>
      <c r="D303" s="35" t="n"/>
      <c r="E303" s="35" t="n"/>
      <c r="F303" s="36">
        <f>IF(OR(D303="",E303=""),"",E303-D303)</f>
        <v/>
      </c>
      <c r="G303" s="29" t="n"/>
      <c r="H303" s="29" t="n"/>
      <c r="I303" s="29" t="n"/>
    </row>
    <row r="304">
      <c r="A304" s="31" t="n"/>
      <c r="B304" s="29" t="n"/>
      <c r="C304" s="29" t="n"/>
      <c r="D304" s="35" t="n"/>
      <c r="E304" s="35" t="n"/>
      <c r="F304" s="36">
        <f>IF(OR(D304="",E304=""),"",E304-D304)</f>
        <v/>
      </c>
      <c r="G304" s="29" t="n"/>
      <c r="H304" s="29" t="n"/>
      <c r="I304" s="29" t="n"/>
    </row>
    <row r="305">
      <c r="A305" s="31" t="n"/>
      <c r="B305" s="29" t="n"/>
      <c r="C305" s="29" t="n"/>
      <c r="D305" s="35" t="n"/>
      <c r="E305" s="35" t="n"/>
      <c r="F305" s="36">
        <f>IF(OR(D305="",E305=""),"",E305-D305)</f>
        <v/>
      </c>
      <c r="G305" s="29" t="n"/>
      <c r="H305" s="29" t="n"/>
      <c r="I305" s="29" t="n"/>
    </row>
    <row r="306">
      <c r="A306" s="31" t="n"/>
      <c r="B306" s="29" t="n"/>
      <c r="C306" s="29" t="n"/>
      <c r="D306" s="35" t="n"/>
      <c r="E306" s="35" t="n"/>
      <c r="F306" s="36">
        <f>IF(OR(D306="",E306=""),"",E306-D306)</f>
        <v/>
      </c>
      <c r="G306" s="29" t="n"/>
      <c r="H306" s="29" t="n"/>
      <c r="I306" s="29" t="n"/>
    </row>
    <row r="307">
      <c r="A307" s="31" t="n"/>
      <c r="B307" s="29" t="n"/>
      <c r="C307" s="29" t="n"/>
      <c r="D307" s="35" t="n"/>
      <c r="E307" s="35" t="n"/>
      <c r="F307" s="36">
        <f>IF(OR(D307="",E307=""),"",E307-D307)</f>
        <v/>
      </c>
      <c r="G307" s="29" t="n"/>
      <c r="H307" s="29" t="n"/>
      <c r="I307" s="29" t="n"/>
    </row>
    <row r="308">
      <c r="A308" s="31" t="n"/>
      <c r="B308" s="29" t="n"/>
      <c r="C308" s="29" t="n"/>
      <c r="D308" s="35" t="n"/>
      <c r="E308" s="35" t="n"/>
      <c r="F308" s="36">
        <f>IF(OR(D308="",E308=""),"",E308-D308)</f>
        <v/>
      </c>
      <c r="G308" s="29" t="n"/>
      <c r="H308" s="29" t="n"/>
      <c r="I308" s="29" t="n"/>
    </row>
    <row r="309">
      <c r="A309" s="31" t="n"/>
      <c r="B309" s="29" t="n"/>
      <c r="C309" s="29" t="n"/>
      <c r="D309" s="35" t="n"/>
      <c r="E309" s="35" t="n"/>
      <c r="F309" s="36">
        <f>IF(OR(D309="",E309=""),"",E309-D309)</f>
        <v/>
      </c>
      <c r="G309" s="29" t="n"/>
      <c r="H309" s="29" t="n"/>
      <c r="I309" s="29" t="n"/>
    </row>
    <row r="310">
      <c r="A310" s="31" t="n"/>
      <c r="B310" s="29" t="n"/>
      <c r="C310" s="29" t="n"/>
      <c r="D310" s="35" t="n"/>
      <c r="E310" s="35" t="n"/>
      <c r="F310" s="36">
        <f>IF(OR(D310="",E310=""),"",E310-D310)</f>
        <v/>
      </c>
      <c r="G310" s="29" t="n"/>
      <c r="H310" s="29" t="n"/>
      <c r="I310" s="29" t="n"/>
    </row>
    <row r="311">
      <c r="A311" s="31" t="n"/>
      <c r="B311" s="29" t="n"/>
      <c r="C311" s="29" t="n"/>
      <c r="D311" s="35" t="n"/>
      <c r="E311" s="35" t="n"/>
      <c r="F311" s="36">
        <f>IF(OR(D311="",E311=""),"",E311-D311)</f>
        <v/>
      </c>
      <c r="G311" s="29" t="n"/>
      <c r="H311" s="29" t="n"/>
      <c r="I311" s="29" t="n"/>
    </row>
    <row r="312">
      <c r="A312" s="31" t="n"/>
      <c r="B312" s="29" t="n"/>
      <c r="C312" s="29" t="n"/>
      <c r="D312" s="35" t="n"/>
      <c r="E312" s="35" t="n"/>
      <c r="F312" s="36">
        <f>IF(OR(D312="",E312=""),"",E312-D312)</f>
        <v/>
      </c>
      <c r="G312" s="29" t="n"/>
      <c r="H312" s="29" t="n"/>
      <c r="I312" s="29" t="n"/>
    </row>
    <row r="313">
      <c r="A313" s="31" t="n"/>
      <c r="B313" s="29" t="n"/>
      <c r="C313" s="29" t="n"/>
      <c r="D313" s="35" t="n"/>
      <c r="E313" s="35" t="n"/>
      <c r="F313" s="36">
        <f>IF(OR(D313="",E313=""),"",E313-D313)</f>
        <v/>
      </c>
      <c r="G313" s="29" t="n"/>
      <c r="H313" s="29" t="n"/>
      <c r="I313" s="29" t="n"/>
    </row>
    <row r="314">
      <c r="A314" s="31" t="n"/>
      <c r="B314" s="29" t="n"/>
      <c r="C314" s="29" t="n"/>
      <c r="D314" s="35" t="n"/>
      <c r="E314" s="35" t="n"/>
      <c r="F314" s="36">
        <f>IF(OR(D314="",E314=""),"",E314-D314)</f>
        <v/>
      </c>
      <c r="G314" s="29" t="n"/>
      <c r="H314" s="29" t="n"/>
      <c r="I314" s="29" t="n"/>
    </row>
    <row r="315">
      <c r="A315" s="31" t="n"/>
      <c r="B315" s="29" t="n"/>
      <c r="C315" s="29" t="n"/>
      <c r="D315" s="35" t="n"/>
      <c r="E315" s="35" t="n"/>
      <c r="F315" s="36">
        <f>IF(OR(D315="",E315=""),"",E315-D315)</f>
        <v/>
      </c>
      <c r="G315" s="29" t="n"/>
      <c r="H315" s="29" t="n"/>
      <c r="I315" s="29" t="n"/>
    </row>
    <row r="316">
      <c r="A316" s="31" t="n"/>
      <c r="B316" s="29" t="n"/>
      <c r="C316" s="29" t="n"/>
      <c r="D316" s="35" t="n"/>
      <c r="E316" s="35" t="n"/>
      <c r="F316" s="36">
        <f>IF(OR(D316="",E316=""),"",E316-D316)</f>
        <v/>
      </c>
      <c r="G316" s="29" t="n"/>
      <c r="H316" s="29" t="n"/>
      <c r="I316" s="29" t="n"/>
    </row>
    <row r="317">
      <c r="A317" s="31" t="n"/>
      <c r="B317" s="29" t="n"/>
      <c r="C317" s="29" t="n"/>
      <c r="D317" s="35" t="n"/>
      <c r="E317" s="35" t="n"/>
      <c r="F317" s="36">
        <f>IF(OR(D317="",E317=""),"",E317-D317)</f>
        <v/>
      </c>
      <c r="G317" s="29" t="n"/>
      <c r="H317" s="29" t="n"/>
      <c r="I317" s="29" t="n"/>
    </row>
    <row r="318">
      <c r="A318" s="31" t="n"/>
      <c r="B318" s="29" t="n"/>
      <c r="C318" s="29" t="n"/>
      <c r="D318" s="35" t="n"/>
      <c r="E318" s="35" t="n"/>
      <c r="F318" s="36">
        <f>IF(OR(D318="",E318=""),"",E318-D318)</f>
        <v/>
      </c>
      <c r="G318" s="29" t="n"/>
      <c r="H318" s="29" t="n"/>
      <c r="I318" s="29" t="n"/>
    </row>
    <row r="319">
      <c r="A319" s="31" t="n"/>
      <c r="B319" s="29" t="n"/>
      <c r="C319" s="29" t="n"/>
      <c r="D319" s="35" t="n"/>
      <c r="E319" s="35" t="n"/>
      <c r="F319" s="36">
        <f>IF(OR(D319="",E319=""),"",E319-D319)</f>
        <v/>
      </c>
      <c r="G319" s="29" t="n"/>
      <c r="H319" s="29" t="n"/>
      <c r="I319" s="29" t="n"/>
    </row>
    <row r="320">
      <c r="A320" s="31" t="n"/>
      <c r="B320" s="29" t="n"/>
      <c r="C320" s="29" t="n"/>
      <c r="D320" s="35" t="n"/>
      <c r="E320" s="35" t="n"/>
      <c r="F320" s="36">
        <f>IF(OR(D320="",E320=""),"",E320-D320)</f>
        <v/>
      </c>
      <c r="G320" s="29" t="n"/>
      <c r="H320" s="29" t="n"/>
      <c r="I320" s="29" t="n"/>
    </row>
    <row r="321">
      <c r="A321" s="31" t="n"/>
      <c r="B321" s="29" t="n"/>
      <c r="C321" s="29" t="n"/>
      <c r="D321" s="35" t="n"/>
      <c r="E321" s="35" t="n"/>
      <c r="F321" s="36">
        <f>IF(OR(D321="",E321=""),"",E321-D321)</f>
        <v/>
      </c>
      <c r="G321" s="29" t="n"/>
      <c r="H321" s="29" t="n"/>
      <c r="I321" s="29" t="n"/>
    </row>
    <row r="322">
      <c r="A322" s="31" t="n"/>
      <c r="B322" s="29" t="n"/>
      <c r="C322" s="29" t="n"/>
      <c r="D322" s="35" t="n"/>
      <c r="E322" s="35" t="n"/>
      <c r="F322" s="36">
        <f>IF(OR(D322="",E322=""),"",E322-D322)</f>
        <v/>
      </c>
      <c r="G322" s="29" t="n"/>
      <c r="H322" s="29" t="n"/>
      <c r="I322" s="29" t="n"/>
    </row>
    <row r="323">
      <c r="A323" s="31" t="n"/>
      <c r="B323" s="29" t="n"/>
      <c r="C323" s="29" t="n"/>
      <c r="D323" s="35" t="n"/>
      <c r="E323" s="35" t="n"/>
      <c r="F323" s="36">
        <f>IF(OR(D323="",E323=""),"",E323-D323)</f>
        <v/>
      </c>
      <c r="G323" s="29" t="n"/>
      <c r="H323" s="29" t="n"/>
      <c r="I323" s="29" t="n"/>
    </row>
    <row r="324">
      <c r="A324" s="31" t="n"/>
      <c r="B324" s="29" t="n"/>
      <c r="C324" s="29" t="n"/>
      <c r="D324" s="35" t="n"/>
      <c r="E324" s="35" t="n"/>
      <c r="F324" s="36">
        <f>IF(OR(D324="",E324=""),"",E324-D324)</f>
        <v/>
      </c>
      <c r="G324" s="29" t="n"/>
      <c r="H324" s="29" t="n"/>
      <c r="I324" s="29" t="n"/>
    </row>
    <row r="325">
      <c r="A325" s="31" t="n"/>
      <c r="B325" s="29" t="n"/>
      <c r="C325" s="29" t="n"/>
      <c r="D325" s="35" t="n"/>
      <c r="E325" s="35" t="n"/>
      <c r="F325" s="36">
        <f>IF(OR(D325="",E325=""),"",E325-D325)</f>
        <v/>
      </c>
      <c r="G325" s="29" t="n"/>
      <c r="H325" s="29" t="n"/>
      <c r="I325" s="29" t="n"/>
    </row>
    <row r="326">
      <c r="A326" s="31" t="n"/>
      <c r="B326" s="29" t="n"/>
      <c r="C326" s="29" t="n"/>
      <c r="D326" s="35" t="n"/>
      <c r="E326" s="35" t="n"/>
      <c r="F326" s="36">
        <f>IF(OR(D326="",E326=""),"",E326-D326)</f>
        <v/>
      </c>
      <c r="G326" s="29" t="n"/>
      <c r="H326" s="29" t="n"/>
      <c r="I326" s="29" t="n"/>
    </row>
    <row r="327">
      <c r="A327" s="31" t="n"/>
      <c r="B327" s="29" t="n"/>
      <c r="C327" s="29" t="n"/>
      <c r="D327" s="35" t="n"/>
      <c r="E327" s="35" t="n"/>
      <c r="F327" s="36">
        <f>IF(OR(D327="",E327=""),"",E327-D327)</f>
        <v/>
      </c>
      <c r="G327" s="29" t="n"/>
      <c r="H327" s="29" t="n"/>
      <c r="I327" s="29" t="n"/>
    </row>
    <row r="328">
      <c r="A328" s="31" t="n"/>
      <c r="B328" s="29" t="n"/>
      <c r="C328" s="29" t="n"/>
      <c r="D328" s="35" t="n"/>
      <c r="E328" s="35" t="n"/>
      <c r="F328" s="36">
        <f>IF(OR(D328="",E328=""),"",E328-D328)</f>
        <v/>
      </c>
      <c r="G328" s="29" t="n"/>
      <c r="H328" s="29" t="n"/>
      <c r="I328" s="29" t="n"/>
    </row>
    <row r="329">
      <c r="A329" s="31" t="n"/>
      <c r="B329" s="29" t="n"/>
      <c r="C329" s="29" t="n"/>
      <c r="D329" s="35" t="n"/>
      <c r="E329" s="35" t="n"/>
      <c r="F329" s="36">
        <f>IF(OR(D329="",E329=""),"",E329-D329)</f>
        <v/>
      </c>
      <c r="G329" s="29" t="n"/>
      <c r="H329" s="29" t="n"/>
      <c r="I329" s="29" t="n"/>
    </row>
    <row r="330">
      <c r="A330" s="31" t="n"/>
      <c r="B330" s="29" t="n"/>
      <c r="C330" s="29" t="n"/>
      <c r="D330" s="35" t="n"/>
      <c r="E330" s="35" t="n"/>
      <c r="F330" s="36">
        <f>IF(OR(D330="",E330=""),"",E330-D330)</f>
        <v/>
      </c>
      <c r="G330" s="29" t="n"/>
      <c r="H330" s="29" t="n"/>
      <c r="I330" s="29" t="n"/>
    </row>
    <row r="331">
      <c r="A331" s="31" t="n"/>
      <c r="B331" s="29" t="n"/>
      <c r="C331" s="29" t="n"/>
      <c r="D331" s="35" t="n"/>
      <c r="E331" s="35" t="n"/>
      <c r="F331" s="36">
        <f>IF(OR(D331="",E331=""),"",E331-D331)</f>
        <v/>
      </c>
      <c r="G331" s="29" t="n"/>
      <c r="H331" s="29" t="n"/>
      <c r="I331" s="29" t="n"/>
    </row>
    <row r="332">
      <c r="A332" s="31" t="n"/>
      <c r="B332" s="29" t="n"/>
      <c r="C332" s="29" t="n"/>
      <c r="D332" s="35" t="n"/>
      <c r="E332" s="35" t="n"/>
      <c r="F332" s="36">
        <f>IF(OR(D332="",E332=""),"",E332-D332)</f>
        <v/>
      </c>
      <c r="G332" s="29" t="n"/>
      <c r="H332" s="29" t="n"/>
      <c r="I332" s="29" t="n"/>
    </row>
    <row r="333">
      <c r="A333" s="31" t="n"/>
      <c r="B333" s="29" t="n"/>
      <c r="C333" s="29" t="n"/>
      <c r="D333" s="35" t="n"/>
      <c r="E333" s="35" t="n"/>
      <c r="F333" s="36">
        <f>IF(OR(D333="",E333=""),"",E333-D333)</f>
        <v/>
      </c>
      <c r="G333" s="29" t="n"/>
      <c r="H333" s="29" t="n"/>
      <c r="I333" s="29" t="n"/>
    </row>
    <row r="334">
      <c r="A334" s="31" t="n"/>
      <c r="B334" s="29" t="n"/>
      <c r="C334" s="29" t="n"/>
      <c r="D334" s="35" t="n"/>
      <c r="E334" s="35" t="n"/>
      <c r="F334" s="36">
        <f>IF(OR(D334="",E334=""),"",E334-D334)</f>
        <v/>
      </c>
      <c r="G334" s="29" t="n"/>
      <c r="H334" s="29" t="n"/>
      <c r="I334" s="29" t="n"/>
    </row>
    <row r="335">
      <c r="A335" s="31" t="n"/>
      <c r="B335" s="29" t="n"/>
      <c r="C335" s="29" t="n"/>
      <c r="D335" s="35" t="n"/>
      <c r="E335" s="35" t="n"/>
      <c r="F335" s="36">
        <f>IF(OR(D335="",E335=""),"",E335-D335)</f>
        <v/>
      </c>
      <c r="G335" s="29" t="n"/>
      <c r="H335" s="29" t="n"/>
      <c r="I335" s="29" t="n"/>
    </row>
    <row r="336">
      <c r="A336" s="31" t="n"/>
      <c r="B336" s="29" t="n"/>
      <c r="C336" s="29" t="n"/>
      <c r="D336" s="35" t="n"/>
      <c r="E336" s="35" t="n"/>
      <c r="F336" s="36">
        <f>IF(OR(D336="",E336=""),"",E336-D336)</f>
        <v/>
      </c>
      <c r="G336" s="29" t="n"/>
      <c r="H336" s="29" t="n"/>
      <c r="I336" s="29" t="n"/>
    </row>
    <row r="337">
      <c r="A337" s="31" t="n"/>
      <c r="B337" s="29" t="n"/>
      <c r="C337" s="29" t="n"/>
      <c r="D337" s="35" t="n"/>
      <c r="E337" s="35" t="n"/>
      <c r="F337" s="36">
        <f>IF(OR(D337="",E337=""),"",E337-D337)</f>
        <v/>
      </c>
      <c r="G337" s="29" t="n"/>
      <c r="H337" s="29" t="n"/>
      <c r="I337" s="29" t="n"/>
    </row>
    <row r="338">
      <c r="A338" s="31" t="n"/>
      <c r="B338" s="29" t="n"/>
      <c r="C338" s="29" t="n"/>
      <c r="D338" s="35" t="n"/>
      <c r="E338" s="35" t="n"/>
      <c r="F338" s="36">
        <f>IF(OR(D338="",E338=""),"",E338-D338)</f>
        <v/>
      </c>
      <c r="G338" s="29" t="n"/>
      <c r="H338" s="29" t="n"/>
      <c r="I338" s="29" t="n"/>
    </row>
    <row r="339">
      <c r="A339" s="31" t="n"/>
      <c r="B339" s="29" t="n"/>
      <c r="C339" s="29" t="n"/>
      <c r="D339" s="35" t="n"/>
      <c r="E339" s="35" t="n"/>
      <c r="F339" s="36">
        <f>IF(OR(D339="",E339=""),"",E339-D339)</f>
        <v/>
      </c>
      <c r="G339" s="29" t="n"/>
      <c r="H339" s="29" t="n"/>
      <c r="I339" s="29" t="n"/>
    </row>
    <row r="340">
      <c r="A340" s="31" t="n"/>
      <c r="B340" s="29" t="n"/>
      <c r="C340" s="29" t="n"/>
      <c r="D340" s="35" t="n"/>
      <c r="E340" s="35" t="n"/>
      <c r="F340" s="36">
        <f>IF(OR(D340="",E340=""),"",E340-D340)</f>
        <v/>
      </c>
      <c r="G340" s="29" t="n"/>
      <c r="H340" s="29" t="n"/>
      <c r="I340" s="29" t="n"/>
    </row>
    <row r="341">
      <c r="A341" s="31" t="n"/>
      <c r="B341" s="29" t="n"/>
      <c r="C341" s="29" t="n"/>
      <c r="D341" s="35" t="n"/>
      <c r="E341" s="35" t="n"/>
      <c r="F341" s="36">
        <f>IF(OR(D341="",E341=""),"",E341-D341)</f>
        <v/>
      </c>
      <c r="G341" s="29" t="n"/>
      <c r="H341" s="29" t="n"/>
      <c r="I341" s="29" t="n"/>
    </row>
    <row r="342">
      <c r="A342" s="31" t="n"/>
      <c r="B342" s="29" t="n"/>
      <c r="C342" s="29" t="n"/>
      <c r="D342" s="35" t="n"/>
      <c r="E342" s="35" t="n"/>
      <c r="F342" s="36">
        <f>IF(OR(D342="",E342=""),"",E342-D342)</f>
        <v/>
      </c>
      <c r="G342" s="29" t="n"/>
      <c r="H342" s="29" t="n"/>
      <c r="I342" s="29" t="n"/>
    </row>
    <row r="343">
      <c r="A343" s="31" t="n"/>
      <c r="B343" s="29" t="n"/>
      <c r="C343" s="29" t="n"/>
      <c r="D343" s="35" t="n"/>
      <c r="E343" s="35" t="n"/>
      <c r="F343" s="36">
        <f>IF(OR(D343="",E343=""),"",E343-D343)</f>
        <v/>
      </c>
      <c r="G343" s="29" t="n"/>
      <c r="H343" s="29" t="n"/>
      <c r="I343" s="29" t="n"/>
    </row>
    <row r="344">
      <c r="A344" s="31" t="n"/>
      <c r="B344" s="29" t="n"/>
      <c r="C344" s="29" t="n"/>
      <c r="D344" s="35" t="n"/>
      <c r="E344" s="35" t="n"/>
      <c r="F344" s="36">
        <f>IF(OR(D344="",E344=""),"",E344-D344)</f>
        <v/>
      </c>
      <c r="G344" s="29" t="n"/>
      <c r="H344" s="29" t="n"/>
      <c r="I344" s="29" t="n"/>
    </row>
    <row r="345">
      <c r="A345" s="31" t="n"/>
      <c r="B345" s="29" t="n"/>
      <c r="C345" s="29" t="n"/>
      <c r="D345" s="35" t="n"/>
      <c r="E345" s="35" t="n"/>
      <c r="F345" s="36">
        <f>IF(OR(D345="",E345=""),"",E345-D345)</f>
        <v/>
      </c>
      <c r="G345" s="29" t="n"/>
      <c r="H345" s="29" t="n"/>
      <c r="I345" s="29" t="n"/>
    </row>
    <row r="346">
      <c r="A346" s="31" t="n"/>
      <c r="B346" s="29" t="n"/>
      <c r="C346" s="29" t="n"/>
      <c r="D346" s="35" t="n"/>
      <c r="E346" s="35" t="n"/>
      <c r="F346" s="36">
        <f>IF(OR(D346="",E346=""),"",E346-D346)</f>
        <v/>
      </c>
      <c r="G346" s="29" t="n"/>
      <c r="H346" s="29" t="n"/>
      <c r="I346" s="29" t="n"/>
    </row>
    <row r="347">
      <c r="A347" s="31" t="n"/>
      <c r="B347" s="29" t="n"/>
      <c r="C347" s="29" t="n"/>
      <c r="D347" s="35" t="n"/>
      <c r="E347" s="35" t="n"/>
      <c r="F347" s="36">
        <f>IF(OR(D347="",E347=""),"",E347-D347)</f>
        <v/>
      </c>
      <c r="G347" s="29" t="n"/>
      <c r="H347" s="29" t="n"/>
      <c r="I347" s="29" t="n"/>
    </row>
    <row r="348">
      <c r="A348" s="31" t="n"/>
      <c r="B348" s="29" t="n"/>
      <c r="C348" s="29" t="n"/>
      <c r="D348" s="35" t="n"/>
      <c r="E348" s="35" t="n"/>
      <c r="F348" s="36">
        <f>IF(OR(D348="",E348=""),"",E348-D348)</f>
        <v/>
      </c>
      <c r="G348" s="29" t="n"/>
      <c r="H348" s="29" t="n"/>
      <c r="I348" s="29" t="n"/>
    </row>
    <row r="349">
      <c r="A349" s="31" t="n"/>
      <c r="B349" s="29" t="n"/>
      <c r="C349" s="29" t="n"/>
      <c r="D349" s="35" t="n"/>
      <c r="E349" s="35" t="n"/>
      <c r="F349" s="36">
        <f>IF(OR(D349="",E349=""),"",E349-D349)</f>
        <v/>
      </c>
      <c r="G349" s="29" t="n"/>
      <c r="H349" s="29" t="n"/>
      <c r="I349" s="29" t="n"/>
    </row>
    <row r="350">
      <c r="A350" s="31" t="n"/>
      <c r="B350" s="29" t="n"/>
      <c r="C350" s="29" t="n"/>
      <c r="D350" s="35" t="n"/>
      <c r="E350" s="35" t="n"/>
      <c r="F350" s="36">
        <f>IF(OR(D350="",E350=""),"",E350-D350)</f>
        <v/>
      </c>
      <c r="G350" s="29" t="n"/>
      <c r="H350" s="29" t="n"/>
      <c r="I350" s="29" t="n"/>
    </row>
    <row r="351">
      <c r="A351" s="31" t="n"/>
      <c r="B351" s="29" t="n"/>
      <c r="C351" s="29" t="n"/>
      <c r="D351" s="35" t="n"/>
      <c r="E351" s="35" t="n"/>
      <c r="F351" s="36">
        <f>IF(OR(D351="",E351=""),"",E351-D351)</f>
        <v/>
      </c>
      <c r="G351" s="29" t="n"/>
      <c r="H351" s="29" t="n"/>
      <c r="I351" s="29" t="n"/>
    </row>
    <row r="352">
      <c r="A352" s="31" t="n"/>
      <c r="B352" s="29" t="n"/>
      <c r="C352" s="29" t="n"/>
      <c r="D352" s="35" t="n"/>
      <c r="E352" s="35" t="n"/>
      <c r="F352" s="36">
        <f>IF(OR(D352="",E352=""),"",E352-D352)</f>
        <v/>
      </c>
      <c r="G352" s="29" t="n"/>
      <c r="H352" s="29" t="n"/>
      <c r="I352" s="29" t="n"/>
    </row>
    <row r="353">
      <c r="A353" s="31" t="n"/>
      <c r="B353" s="29" t="n"/>
      <c r="C353" s="29" t="n"/>
      <c r="D353" s="35" t="n"/>
      <c r="E353" s="35" t="n"/>
      <c r="F353" s="36">
        <f>IF(OR(D353="",E353=""),"",E353-D353)</f>
        <v/>
      </c>
      <c r="G353" s="29" t="n"/>
      <c r="H353" s="29" t="n"/>
      <c r="I353" s="29" t="n"/>
    </row>
    <row r="354">
      <c r="A354" s="31" t="n"/>
      <c r="B354" s="29" t="n"/>
      <c r="C354" s="29" t="n"/>
      <c r="D354" s="35" t="n"/>
      <c r="E354" s="35" t="n"/>
      <c r="F354" s="36">
        <f>IF(OR(D354="",E354=""),"",E354-D354)</f>
        <v/>
      </c>
      <c r="G354" s="29" t="n"/>
      <c r="H354" s="29" t="n"/>
      <c r="I354" s="29" t="n"/>
    </row>
    <row r="355">
      <c r="A355" s="31" t="n"/>
      <c r="B355" s="29" t="n"/>
      <c r="C355" s="29" t="n"/>
      <c r="D355" s="35" t="n"/>
      <c r="E355" s="35" t="n"/>
      <c r="F355" s="36">
        <f>IF(OR(D355="",E355=""),"",E355-D355)</f>
        <v/>
      </c>
      <c r="G355" s="29" t="n"/>
      <c r="H355" s="29" t="n"/>
      <c r="I355" s="29" t="n"/>
    </row>
    <row r="356">
      <c r="A356" s="31" t="n"/>
      <c r="B356" s="29" t="n"/>
      <c r="C356" s="29" t="n"/>
      <c r="D356" s="35" t="n"/>
      <c r="E356" s="35" t="n"/>
      <c r="F356" s="36">
        <f>IF(OR(D356="",E356=""),"",E356-D356)</f>
        <v/>
      </c>
      <c r="G356" s="29" t="n"/>
      <c r="H356" s="29" t="n"/>
      <c r="I356" s="29" t="n"/>
    </row>
    <row r="357">
      <c r="A357" s="31" t="n"/>
      <c r="B357" s="29" t="n"/>
      <c r="C357" s="29" t="n"/>
      <c r="D357" s="35" t="n"/>
      <c r="E357" s="35" t="n"/>
      <c r="F357" s="36">
        <f>IF(OR(D357="",E357=""),"",E357-D357)</f>
        <v/>
      </c>
      <c r="G357" s="29" t="n"/>
      <c r="H357" s="29" t="n"/>
      <c r="I357" s="29" t="n"/>
    </row>
    <row r="358">
      <c r="A358" s="31" t="n"/>
      <c r="B358" s="29" t="n"/>
      <c r="C358" s="29" t="n"/>
      <c r="D358" s="35" t="n"/>
      <c r="E358" s="35" t="n"/>
      <c r="F358" s="36">
        <f>IF(OR(D358="",E358=""),"",E358-D358)</f>
        <v/>
      </c>
      <c r="G358" s="29" t="n"/>
      <c r="H358" s="29" t="n"/>
      <c r="I358" s="29" t="n"/>
    </row>
    <row r="359">
      <c r="A359" s="31" t="n"/>
      <c r="B359" s="29" t="n"/>
      <c r="C359" s="29" t="n"/>
      <c r="D359" s="35" t="n"/>
      <c r="E359" s="35" t="n"/>
      <c r="F359" s="36">
        <f>IF(OR(D359="",E359=""),"",E359-D359)</f>
        <v/>
      </c>
      <c r="G359" s="29" t="n"/>
      <c r="H359" s="29" t="n"/>
      <c r="I359" s="29" t="n"/>
    </row>
    <row r="360">
      <c r="A360" s="31" t="n"/>
      <c r="B360" s="29" t="n"/>
      <c r="C360" s="29" t="n"/>
      <c r="D360" s="35" t="n"/>
      <c r="E360" s="35" t="n"/>
      <c r="F360" s="36">
        <f>IF(OR(D360="",E360=""),"",E360-D360)</f>
        <v/>
      </c>
      <c r="G360" s="29" t="n"/>
      <c r="H360" s="29" t="n"/>
      <c r="I360" s="29" t="n"/>
    </row>
    <row r="361">
      <c r="A361" s="31" t="n"/>
      <c r="B361" s="29" t="n"/>
      <c r="C361" s="29" t="n"/>
      <c r="D361" s="35" t="n"/>
      <c r="E361" s="35" t="n"/>
      <c r="F361" s="36">
        <f>IF(OR(D361="",E361=""),"",E361-D361)</f>
        <v/>
      </c>
      <c r="G361" s="29" t="n"/>
      <c r="H361" s="29" t="n"/>
      <c r="I361" s="29" t="n"/>
    </row>
    <row r="362">
      <c r="A362" s="31" t="n"/>
      <c r="B362" s="29" t="n"/>
      <c r="C362" s="29" t="n"/>
      <c r="D362" s="35" t="n"/>
      <c r="E362" s="35" t="n"/>
      <c r="F362" s="36">
        <f>IF(OR(D362="",E362=""),"",E362-D362)</f>
        <v/>
      </c>
      <c r="G362" s="29" t="n"/>
      <c r="H362" s="29" t="n"/>
      <c r="I362" s="29" t="n"/>
    </row>
    <row r="363">
      <c r="A363" s="31" t="n"/>
      <c r="B363" s="29" t="n"/>
      <c r="C363" s="29" t="n"/>
      <c r="D363" s="35" t="n"/>
      <c r="E363" s="35" t="n"/>
      <c r="F363" s="36">
        <f>IF(OR(D363="",E363=""),"",E363-D363)</f>
        <v/>
      </c>
      <c r="G363" s="29" t="n"/>
      <c r="H363" s="29" t="n"/>
      <c r="I363" s="29" t="n"/>
    </row>
    <row r="364">
      <c r="A364" s="31" t="n"/>
      <c r="B364" s="29" t="n"/>
      <c r="C364" s="29" t="n"/>
      <c r="D364" s="35" t="n"/>
      <c r="E364" s="35" t="n"/>
      <c r="F364" s="36">
        <f>IF(OR(D364="",E364=""),"",E364-D364)</f>
        <v/>
      </c>
      <c r="G364" s="29" t="n"/>
      <c r="H364" s="29" t="n"/>
      <c r="I364" s="29" t="n"/>
    </row>
    <row r="365">
      <c r="A365" s="31" t="n"/>
      <c r="B365" s="29" t="n"/>
      <c r="C365" s="29" t="n"/>
      <c r="D365" s="35" t="n"/>
      <c r="E365" s="35" t="n"/>
      <c r="F365" s="36">
        <f>IF(OR(D365="",E365=""),"",E365-D365)</f>
        <v/>
      </c>
      <c r="G365" s="29" t="n"/>
      <c r="H365" s="29" t="n"/>
      <c r="I365" s="29" t="n"/>
    </row>
    <row r="366">
      <c r="A366" s="31" t="n"/>
      <c r="B366" s="29" t="n"/>
      <c r="C366" s="29" t="n"/>
      <c r="D366" s="35" t="n"/>
      <c r="E366" s="35" t="n"/>
      <c r="F366" s="36">
        <f>IF(OR(D366="",E366=""),"",E366-D366)</f>
        <v/>
      </c>
      <c r="G366" s="29" t="n"/>
      <c r="H366" s="29" t="n"/>
      <c r="I366" s="29" t="n"/>
    </row>
    <row r="367">
      <c r="A367" s="31" t="n"/>
      <c r="B367" s="29" t="n"/>
      <c r="C367" s="29" t="n"/>
      <c r="D367" s="35" t="n"/>
      <c r="E367" s="35" t="n"/>
      <c r="F367" s="36">
        <f>IF(OR(D367="",E367=""),"",E367-D367)</f>
        <v/>
      </c>
      <c r="G367" s="29" t="n"/>
      <c r="H367" s="29" t="n"/>
      <c r="I367" s="29" t="n"/>
    </row>
    <row r="368">
      <c r="A368" s="31" t="n"/>
      <c r="B368" s="29" t="n"/>
      <c r="C368" s="29" t="n"/>
      <c r="D368" s="35" t="n"/>
      <c r="E368" s="35" t="n"/>
      <c r="F368" s="36">
        <f>IF(OR(D368="",E368=""),"",E368-D368)</f>
        <v/>
      </c>
      <c r="G368" s="29" t="n"/>
      <c r="H368" s="29" t="n"/>
      <c r="I368" s="29" t="n"/>
    </row>
    <row r="369">
      <c r="A369" s="31" t="n"/>
      <c r="B369" s="29" t="n"/>
      <c r="C369" s="29" t="n"/>
      <c r="D369" s="35" t="n"/>
      <c r="E369" s="35" t="n"/>
      <c r="F369" s="36">
        <f>IF(OR(D369="",E369=""),"",E369-D369)</f>
        <v/>
      </c>
      <c r="G369" s="29" t="n"/>
      <c r="H369" s="29" t="n"/>
      <c r="I369" s="29" t="n"/>
    </row>
    <row r="370">
      <c r="A370" s="31" t="n"/>
      <c r="B370" s="29" t="n"/>
      <c r="C370" s="29" t="n"/>
      <c r="D370" s="35" t="n"/>
      <c r="E370" s="35" t="n"/>
      <c r="F370" s="36">
        <f>IF(OR(D370="",E370=""),"",E370-D370)</f>
        <v/>
      </c>
      <c r="G370" s="29" t="n"/>
      <c r="H370" s="29" t="n"/>
      <c r="I370" s="29" t="n"/>
    </row>
    <row r="371">
      <c r="A371" s="31" t="n"/>
      <c r="B371" s="29" t="n"/>
      <c r="C371" s="29" t="n"/>
      <c r="D371" s="35" t="n"/>
      <c r="E371" s="35" t="n"/>
      <c r="F371" s="36">
        <f>IF(OR(D371="",E371=""),"",E371-D371)</f>
        <v/>
      </c>
      <c r="G371" s="29" t="n"/>
      <c r="H371" s="29" t="n"/>
      <c r="I371" s="29" t="n"/>
    </row>
    <row r="372">
      <c r="A372" s="31" t="n"/>
      <c r="B372" s="29" t="n"/>
      <c r="C372" s="29" t="n"/>
      <c r="D372" s="35" t="n"/>
      <c r="E372" s="35" t="n"/>
      <c r="F372" s="36">
        <f>IF(OR(D372="",E372=""),"",E372-D372)</f>
        <v/>
      </c>
      <c r="G372" s="29" t="n"/>
      <c r="H372" s="29" t="n"/>
      <c r="I372" s="29" t="n"/>
    </row>
    <row r="373">
      <c r="A373" s="31" t="n"/>
      <c r="B373" s="29" t="n"/>
      <c r="C373" s="29" t="n"/>
      <c r="D373" s="35" t="n"/>
      <c r="E373" s="35" t="n"/>
      <c r="F373" s="36">
        <f>IF(OR(D373="",E373=""),"",E373-D373)</f>
        <v/>
      </c>
      <c r="G373" s="29" t="n"/>
      <c r="H373" s="29" t="n"/>
      <c r="I373" s="29" t="n"/>
    </row>
    <row r="374">
      <c r="A374" s="31" t="n"/>
      <c r="B374" s="29" t="n"/>
      <c r="C374" s="29" t="n"/>
      <c r="D374" s="35" t="n"/>
      <c r="E374" s="35" t="n"/>
      <c r="F374" s="36">
        <f>IF(OR(D374="",E374=""),"",E374-D374)</f>
        <v/>
      </c>
      <c r="G374" s="29" t="n"/>
      <c r="H374" s="29" t="n"/>
      <c r="I374" s="29" t="n"/>
    </row>
    <row r="375">
      <c r="A375" s="31" t="n"/>
      <c r="B375" s="29" t="n"/>
      <c r="C375" s="29" t="n"/>
      <c r="D375" s="35" t="n"/>
      <c r="E375" s="35" t="n"/>
      <c r="F375" s="36">
        <f>IF(OR(D375="",E375=""),"",E375-D375)</f>
        <v/>
      </c>
      <c r="G375" s="29" t="n"/>
      <c r="H375" s="29" t="n"/>
      <c r="I375" s="29" t="n"/>
    </row>
    <row r="376">
      <c r="A376" s="31" t="n"/>
      <c r="B376" s="29" t="n"/>
      <c r="C376" s="29" t="n"/>
      <c r="D376" s="35" t="n"/>
      <c r="E376" s="35" t="n"/>
      <c r="F376" s="36">
        <f>IF(OR(D376="",E376=""),"",E376-D376)</f>
        <v/>
      </c>
      <c r="G376" s="29" t="n"/>
      <c r="H376" s="29" t="n"/>
      <c r="I376" s="29" t="n"/>
    </row>
    <row r="377">
      <c r="A377" s="31" t="n"/>
      <c r="B377" s="29" t="n"/>
      <c r="C377" s="29" t="n"/>
      <c r="D377" s="35" t="n"/>
      <c r="E377" s="35" t="n"/>
      <c r="F377" s="36">
        <f>IF(OR(D377="",E377=""),"",E377-D377)</f>
        <v/>
      </c>
      <c r="G377" s="29" t="n"/>
      <c r="H377" s="29" t="n"/>
      <c r="I377" s="29" t="n"/>
    </row>
    <row r="378">
      <c r="A378" s="31" t="n"/>
      <c r="B378" s="29" t="n"/>
      <c r="C378" s="29" t="n"/>
      <c r="D378" s="35" t="n"/>
      <c r="E378" s="35" t="n"/>
      <c r="F378" s="36">
        <f>IF(OR(D378="",E378=""),"",E378-D378)</f>
        <v/>
      </c>
      <c r="G378" s="29" t="n"/>
      <c r="H378" s="29" t="n"/>
      <c r="I378" s="29" t="n"/>
    </row>
    <row r="379">
      <c r="A379" s="31" t="n"/>
      <c r="B379" s="29" t="n"/>
      <c r="C379" s="29" t="n"/>
      <c r="D379" s="35" t="n"/>
      <c r="E379" s="35" t="n"/>
      <c r="F379" s="36">
        <f>IF(OR(D379="",E379=""),"",E379-D379)</f>
        <v/>
      </c>
      <c r="G379" s="29" t="n"/>
      <c r="H379" s="29" t="n"/>
      <c r="I379" s="29" t="n"/>
    </row>
    <row r="380">
      <c r="A380" s="31" t="n"/>
      <c r="B380" s="29" t="n"/>
      <c r="C380" s="29" t="n"/>
      <c r="D380" s="35" t="n"/>
      <c r="E380" s="35" t="n"/>
      <c r="F380" s="36">
        <f>IF(OR(D380="",E380=""),"",E380-D380)</f>
        <v/>
      </c>
      <c r="G380" s="29" t="n"/>
      <c r="H380" s="29" t="n"/>
      <c r="I380" s="29" t="n"/>
    </row>
    <row r="381">
      <c r="A381" s="31" t="n"/>
      <c r="B381" s="29" t="n"/>
      <c r="C381" s="29" t="n"/>
      <c r="D381" s="35" t="n"/>
      <c r="E381" s="35" t="n"/>
      <c r="F381" s="36">
        <f>IF(OR(D381="",E381=""),"",E381-D381)</f>
        <v/>
      </c>
      <c r="G381" s="29" t="n"/>
      <c r="H381" s="29" t="n"/>
      <c r="I381" s="29" t="n"/>
    </row>
    <row r="382">
      <c r="A382" s="31" t="n"/>
      <c r="B382" s="29" t="n"/>
      <c r="C382" s="29" t="n"/>
      <c r="D382" s="35" t="n"/>
      <c r="E382" s="35" t="n"/>
      <c r="F382" s="36">
        <f>IF(OR(D382="",E382=""),"",E382-D382)</f>
        <v/>
      </c>
      <c r="G382" s="29" t="n"/>
      <c r="H382" s="29" t="n"/>
      <c r="I382" s="29" t="n"/>
    </row>
    <row r="383">
      <c r="A383" s="31" t="n"/>
      <c r="B383" s="29" t="n"/>
      <c r="C383" s="29" t="n"/>
      <c r="D383" s="35" t="n"/>
      <c r="E383" s="35" t="n"/>
      <c r="F383" s="36">
        <f>IF(OR(D383="",E383=""),"",E383-D383)</f>
        <v/>
      </c>
      <c r="G383" s="29" t="n"/>
      <c r="H383" s="29" t="n"/>
      <c r="I383" s="29" t="n"/>
    </row>
    <row r="384">
      <c r="A384" s="31" t="n"/>
      <c r="B384" s="29" t="n"/>
      <c r="C384" s="29" t="n"/>
      <c r="D384" s="35" t="n"/>
      <c r="E384" s="35" t="n"/>
      <c r="F384" s="36">
        <f>IF(OR(D384="",E384=""),"",E384-D384)</f>
        <v/>
      </c>
      <c r="G384" s="29" t="n"/>
      <c r="H384" s="29" t="n"/>
      <c r="I384" s="29" t="n"/>
    </row>
    <row r="385">
      <c r="A385" s="31" t="n"/>
      <c r="B385" s="29" t="n"/>
      <c r="C385" s="29" t="n"/>
      <c r="D385" s="35" t="n"/>
      <c r="E385" s="35" t="n"/>
      <c r="F385" s="36">
        <f>IF(OR(D385="",E385=""),"",E385-D385)</f>
        <v/>
      </c>
      <c r="G385" s="29" t="n"/>
      <c r="H385" s="29" t="n"/>
      <c r="I385" s="29" t="n"/>
    </row>
    <row r="386">
      <c r="A386" s="31" t="n"/>
      <c r="B386" s="29" t="n"/>
      <c r="C386" s="29" t="n"/>
      <c r="D386" s="35" t="n"/>
      <c r="E386" s="35" t="n"/>
      <c r="F386" s="36">
        <f>IF(OR(D386="",E386=""),"",E386-D386)</f>
        <v/>
      </c>
      <c r="G386" s="29" t="n"/>
      <c r="H386" s="29" t="n"/>
      <c r="I386" s="29" t="n"/>
    </row>
    <row r="387">
      <c r="A387" s="31" t="n"/>
      <c r="B387" s="29" t="n"/>
      <c r="C387" s="29" t="n"/>
      <c r="D387" s="35" t="n"/>
      <c r="E387" s="35" t="n"/>
      <c r="F387" s="36">
        <f>IF(OR(D387="",E387=""),"",E387-D387)</f>
        <v/>
      </c>
      <c r="G387" s="29" t="n"/>
      <c r="H387" s="29" t="n"/>
      <c r="I387" s="29" t="n"/>
    </row>
    <row r="388">
      <c r="A388" s="31" t="n"/>
      <c r="B388" s="29" t="n"/>
      <c r="C388" s="29" t="n"/>
      <c r="D388" s="35" t="n"/>
      <c r="E388" s="35" t="n"/>
      <c r="F388" s="36">
        <f>IF(OR(D388="",E388=""),"",E388-D388)</f>
        <v/>
      </c>
      <c r="G388" s="29" t="n"/>
      <c r="H388" s="29" t="n"/>
      <c r="I388" s="29" t="n"/>
    </row>
    <row r="389">
      <c r="A389" s="31" t="n"/>
      <c r="B389" s="29" t="n"/>
      <c r="C389" s="29" t="n"/>
      <c r="D389" s="35" t="n"/>
      <c r="E389" s="35" t="n"/>
      <c r="F389" s="36">
        <f>IF(OR(D389="",E389=""),"",E389-D389)</f>
        <v/>
      </c>
      <c r="G389" s="29" t="n"/>
      <c r="H389" s="29" t="n"/>
      <c r="I389" s="29" t="n"/>
    </row>
    <row r="390">
      <c r="A390" s="31" t="n"/>
      <c r="B390" s="29" t="n"/>
      <c r="C390" s="29" t="n"/>
      <c r="D390" s="35" t="n"/>
      <c r="E390" s="35" t="n"/>
      <c r="F390" s="36">
        <f>IF(OR(D390="",E390=""),"",E390-D390)</f>
        <v/>
      </c>
      <c r="G390" s="29" t="n"/>
      <c r="H390" s="29" t="n"/>
      <c r="I390" s="29" t="n"/>
    </row>
    <row r="391">
      <c r="A391" s="31" t="n"/>
      <c r="B391" s="29" t="n"/>
      <c r="C391" s="29" t="n"/>
      <c r="D391" s="35" t="n"/>
      <c r="E391" s="35" t="n"/>
      <c r="F391" s="36">
        <f>IF(OR(D391="",E391=""),"",E391-D391)</f>
        <v/>
      </c>
      <c r="G391" s="29" t="n"/>
      <c r="H391" s="29" t="n"/>
      <c r="I391" s="29" t="n"/>
    </row>
    <row r="392">
      <c r="A392" s="31" t="n"/>
      <c r="B392" s="29" t="n"/>
      <c r="C392" s="29" t="n"/>
      <c r="D392" s="35" t="n"/>
      <c r="E392" s="35" t="n"/>
      <c r="F392" s="36">
        <f>IF(OR(D392="",E392=""),"",E392-D392)</f>
        <v/>
      </c>
      <c r="G392" s="29" t="n"/>
      <c r="H392" s="29" t="n"/>
      <c r="I392" s="29" t="n"/>
    </row>
    <row r="393">
      <c r="A393" s="31" t="n"/>
      <c r="B393" s="29" t="n"/>
      <c r="C393" s="29" t="n"/>
      <c r="D393" s="35" t="n"/>
      <c r="E393" s="35" t="n"/>
      <c r="F393" s="36">
        <f>IF(OR(D393="",E393=""),"",E393-D393)</f>
        <v/>
      </c>
      <c r="G393" s="29" t="n"/>
      <c r="H393" s="29" t="n"/>
      <c r="I393" s="29" t="n"/>
    </row>
    <row r="394">
      <c r="A394" s="31" t="n"/>
      <c r="B394" s="29" t="n"/>
      <c r="C394" s="29" t="n"/>
      <c r="D394" s="35" t="n"/>
      <c r="E394" s="35" t="n"/>
      <c r="F394" s="36">
        <f>IF(OR(D394="",E394=""),"",E394-D394)</f>
        <v/>
      </c>
      <c r="G394" s="29" t="n"/>
      <c r="H394" s="29" t="n"/>
      <c r="I394" s="29" t="n"/>
    </row>
    <row r="395">
      <c r="A395" s="31" t="n"/>
      <c r="B395" s="29" t="n"/>
      <c r="C395" s="29" t="n"/>
      <c r="D395" s="35" t="n"/>
      <c r="E395" s="35" t="n"/>
      <c r="F395" s="36">
        <f>IF(OR(D395="",E395=""),"",E395-D395)</f>
        <v/>
      </c>
      <c r="G395" s="29" t="n"/>
      <c r="H395" s="29" t="n"/>
      <c r="I395" s="29" t="n"/>
    </row>
    <row r="396">
      <c r="A396" s="31" t="n"/>
      <c r="B396" s="29" t="n"/>
      <c r="C396" s="29" t="n"/>
      <c r="D396" s="35" t="n"/>
      <c r="E396" s="35" t="n"/>
      <c r="F396" s="36">
        <f>IF(OR(D396="",E396=""),"",E396-D396)</f>
        <v/>
      </c>
      <c r="G396" s="29" t="n"/>
      <c r="H396" s="29" t="n"/>
      <c r="I396" s="29" t="n"/>
    </row>
    <row r="397">
      <c r="A397" s="31" t="n"/>
      <c r="B397" s="29" t="n"/>
      <c r="C397" s="29" t="n"/>
      <c r="D397" s="35" t="n"/>
      <c r="E397" s="35" t="n"/>
      <c r="F397" s="36">
        <f>IF(OR(D397="",E397=""),"",E397-D397)</f>
        <v/>
      </c>
      <c r="G397" s="29" t="n"/>
      <c r="H397" s="29" t="n"/>
      <c r="I397" s="29" t="n"/>
    </row>
    <row r="398">
      <c r="A398" s="31" t="n"/>
      <c r="B398" s="29" t="n"/>
      <c r="C398" s="29" t="n"/>
      <c r="D398" s="35" t="n"/>
      <c r="E398" s="35" t="n"/>
      <c r="F398" s="36">
        <f>IF(OR(D398="",E398=""),"",E398-D398)</f>
        <v/>
      </c>
      <c r="G398" s="29" t="n"/>
      <c r="H398" s="29" t="n"/>
      <c r="I398" s="29" t="n"/>
    </row>
    <row r="399">
      <c r="A399" s="31" t="n"/>
      <c r="B399" s="29" t="n"/>
      <c r="C399" s="29" t="n"/>
      <c r="D399" s="35" t="n"/>
      <c r="E399" s="35" t="n"/>
      <c r="F399" s="36">
        <f>IF(OR(D399="",E399=""),"",E399-D399)</f>
        <v/>
      </c>
      <c r="G399" s="29" t="n"/>
      <c r="H399" s="29" t="n"/>
      <c r="I399" s="29" t="n"/>
    </row>
    <row r="400">
      <c r="A400" s="31" t="n"/>
      <c r="B400" s="29" t="n"/>
      <c r="C400" s="29" t="n"/>
      <c r="D400" s="35" t="n"/>
      <c r="E400" s="35" t="n"/>
      <c r="F400" s="36">
        <f>IF(OR(D400="",E400=""),"",E400-D400)</f>
        <v/>
      </c>
      <c r="G400" s="29" t="n"/>
      <c r="H400" s="29" t="n"/>
      <c r="I400" s="29" t="n"/>
    </row>
    <row r="401">
      <c r="A401" s="31" t="n"/>
      <c r="B401" s="29" t="n"/>
      <c r="C401" s="29" t="n"/>
      <c r="D401" s="35" t="n"/>
      <c r="E401" s="35" t="n"/>
      <c r="F401" s="36">
        <f>IF(OR(D401="",E401=""),"",E401-D401)</f>
        <v/>
      </c>
      <c r="G401" s="29" t="n"/>
      <c r="H401" s="29" t="n"/>
      <c r="I401" s="29" t="n"/>
    </row>
    <row r="402">
      <c r="A402" s="31" t="n"/>
      <c r="B402" s="29" t="n"/>
      <c r="C402" s="29" t="n"/>
      <c r="D402" s="35" t="n"/>
      <c r="E402" s="35" t="n"/>
      <c r="F402" s="36">
        <f>IF(OR(D402="",E402=""),"",E402-D402)</f>
        <v/>
      </c>
      <c r="G402" s="29" t="n"/>
      <c r="H402" s="29" t="n"/>
      <c r="I402" s="29" t="n"/>
    </row>
    <row r="403">
      <c r="A403" s="31" t="n"/>
      <c r="B403" s="29" t="n"/>
      <c r="C403" s="29" t="n"/>
      <c r="D403" s="35" t="n"/>
      <c r="E403" s="35" t="n"/>
      <c r="F403" s="36">
        <f>IF(OR(D403="",E403=""),"",E403-D403)</f>
        <v/>
      </c>
      <c r="G403" s="29" t="n"/>
      <c r="H403" s="29" t="n"/>
      <c r="I403" s="29" t="n"/>
    </row>
    <row r="404">
      <c r="A404" s="31" t="n"/>
      <c r="B404" s="29" t="n"/>
      <c r="C404" s="29" t="n"/>
      <c r="D404" s="35" t="n"/>
      <c r="E404" s="35" t="n"/>
      <c r="F404" s="36">
        <f>IF(OR(D404="",E404=""),"",E404-D404)</f>
        <v/>
      </c>
      <c r="G404" s="29" t="n"/>
      <c r="H404" s="29" t="n"/>
      <c r="I404" s="29" t="n"/>
    </row>
  </sheetData>
  <mergeCells count="2">
    <mergeCell ref="A1:I1"/>
    <mergeCell ref="A2:I2"/>
  </mergeCells>
  <conditionalFormatting sqref="F5:F404">
    <cfRule type="cellIs" priority="1" operator="greaterThan" dxfId="0">
      <formula>0</formula>
    </cfRule>
    <cfRule type="cellIs" priority="2" operator="lessThanOrEqual" dxfId="1">
      <formula>0</formula>
    </cfRule>
  </conditionalFormatting>
  <dataValidations count="1">
    <dataValidation sqref="G5:G404" showDropDown="0" showInputMessage="0" showErrorMessage="0" allowBlank="1" error="Valeur non autorisée." prompt="Choisis une valeur dans la liste." type="list">
      <formula1>=Parametres!$E$5:$E$7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16" customWidth="1" min="4" max="4"/>
    <col width="28" customWidth="1" min="5" max="5"/>
    <col width="24" customWidth="1" min="6" max="6"/>
    <col width="20" customWidth="1" min="7" max="7"/>
  </cols>
  <sheetData>
    <row r="1">
      <c r="A1" s="1" t="inlineStr">
        <is>
          <t>Matériel &amp; équipements</t>
        </is>
      </c>
    </row>
    <row r="2">
      <c r="A2" s="2" t="inlineStr">
        <is>
          <t>Suivi de l'état des équipements présents sur site.</t>
        </is>
      </c>
    </row>
    <row r="4" ht="22" customHeight="1">
      <c r="A4" s="28" t="inlineStr">
        <is>
          <t>Équipement</t>
        </is>
      </c>
      <c r="B4" s="28" t="inlineStr">
        <is>
          <t>Quantité</t>
        </is>
      </c>
      <c r="C4" s="28" t="inlineStr">
        <is>
          <t>État</t>
        </is>
      </c>
      <c r="D4" s="28" t="inlineStr">
        <is>
          <t>Dernier contrôle</t>
        </is>
      </c>
      <c r="E4" s="28" t="inlineStr">
        <is>
          <t>Panne / anomalie</t>
        </is>
      </c>
      <c r="F4" s="28" t="inlineStr">
        <is>
          <t>Action requise</t>
        </is>
      </c>
      <c r="G4" s="28" t="inlineStr">
        <is>
          <t>Responsable</t>
        </is>
      </c>
    </row>
    <row r="5">
      <c r="A5" s="29" t="inlineStr">
        <is>
          <t>Bétonnière</t>
        </is>
      </c>
      <c r="B5" s="29" t="n">
        <v>1</v>
      </c>
      <c r="C5" s="29" t="inlineStr">
        <is>
          <t>Bon</t>
        </is>
      </c>
      <c r="D5" s="31" t="n">
        <v>46091</v>
      </c>
      <c r="E5" s="29" t="inlineStr">
        <is>
          <t>Aucune</t>
        </is>
      </c>
      <c r="F5" s="29" t="inlineStr">
        <is>
          <t>Entretien hebdomadaire</t>
        </is>
      </c>
      <c r="G5" s="29" t="inlineStr">
        <is>
          <t>Chef de chantier</t>
        </is>
      </c>
    </row>
    <row r="6">
      <c r="A6" s="29" t="inlineStr">
        <is>
          <t>Vibreur</t>
        </is>
      </c>
      <c r="B6" s="29" t="n">
        <v>1</v>
      </c>
      <c r="C6" s="29" t="inlineStr">
        <is>
          <t>Bon</t>
        </is>
      </c>
      <c r="D6" s="31" t="n">
        <v>46091</v>
      </c>
      <c r="E6" s="29" t="inlineStr">
        <is>
          <t>Aucune</t>
        </is>
      </c>
      <c r="F6" s="29" t="inlineStr">
        <is>
          <t>Contrôle câble alimentation</t>
        </is>
      </c>
      <c r="G6" s="29" t="inlineStr">
        <is>
          <t>Chef de chantier</t>
        </is>
      </c>
    </row>
    <row r="7">
      <c r="A7" s="29" t="inlineStr">
        <is>
          <t>Brouettes</t>
        </is>
      </c>
      <c r="B7" s="29" t="n">
        <v>4</v>
      </c>
      <c r="C7" s="29" t="inlineStr">
        <is>
          <t>Moyen</t>
        </is>
      </c>
      <c r="D7" s="31" t="n">
        <v>46093</v>
      </c>
      <c r="E7" s="29" t="inlineStr">
        <is>
          <t>1 roue usée</t>
        </is>
      </c>
      <c r="F7" s="29" t="inlineStr">
        <is>
          <t>Remplacement roue sous 3 jours</t>
        </is>
      </c>
      <c r="G7" s="29" t="inlineStr">
        <is>
          <t>Magasinier</t>
        </is>
      </c>
    </row>
    <row r="8">
      <c r="A8" s="29" t="inlineStr">
        <is>
          <t>Échelles</t>
        </is>
      </c>
      <c r="B8" s="29" t="n">
        <v>2</v>
      </c>
      <c r="C8" s="29" t="inlineStr">
        <is>
          <t>Bon</t>
        </is>
      </c>
      <c r="D8" s="31" t="n">
        <v>46093</v>
      </c>
      <c r="E8" s="29" t="inlineStr">
        <is>
          <t>Aucune</t>
        </is>
      </c>
      <c r="F8" s="29" t="inlineStr">
        <is>
          <t>RAS</t>
        </is>
      </c>
      <c r="G8" s="29" t="inlineStr">
        <is>
          <t>Chef de chantier</t>
        </is>
      </c>
    </row>
    <row r="9">
      <c r="A9" s="29" t="inlineStr">
        <is>
          <t>Groupe électrogène</t>
        </is>
      </c>
      <c r="B9" s="29" t="n">
        <v>1</v>
      </c>
      <c r="C9" s="29" t="inlineStr">
        <is>
          <t>Moyen</t>
        </is>
      </c>
      <c r="D9" s="31" t="n">
        <v>46090</v>
      </c>
      <c r="E9" s="29" t="inlineStr">
        <is>
          <t>Démarrage difficile</t>
        </is>
      </c>
      <c r="F9" s="29" t="inlineStr">
        <is>
          <t>Vidange + bougie</t>
        </is>
      </c>
      <c r="G9" s="29" t="inlineStr">
        <is>
          <t>Mécanicien</t>
        </is>
      </c>
    </row>
    <row r="10">
      <c r="A10" s="29" t="n"/>
      <c r="B10" s="29" t="n"/>
      <c r="C10" s="29" t="n"/>
      <c r="D10" s="31" t="n"/>
      <c r="E10" s="29" t="n"/>
      <c r="F10" s="29" t="n"/>
      <c r="G10" s="29" t="n"/>
    </row>
    <row r="11">
      <c r="A11" s="29" t="n"/>
      <c r="B11" s="29" t="n"/>
      <c r="C11" s="29" t="n"/>
      <c r="D11" s="31" t="n"/>
      <c r="E11" s="29" t="n"/>
      <c r="F11" s="29" t="n"/>
      <c r="G11" s="29" t="n"/>
    </row>
    <row r="12">
      <c r="A12" s="29" t="n"/>
      <c r="B12" s="29" t="n"/>
      <c r="C12" s="29" t="n"/>
      <c r="D12" s="31" t="n"/>
      <c r="E12" s="29" t="n"/>
      <c r="F12" s="29" t="n"/>
      <c r="G12" s="29" t="n"/>
    </row>
    <row r="13">
      <c r="A13" s="29" t="n"/>
      <c r="B13" s="29" t="n"/>
      <c r="C13" s="29" t="n"/>
      <c r="D13" s="31" t="n"/>
      <c r="E13" s="29" t="n"/>
      <c r="F13" s="29" t="n"/>
      <c r="G13" s="29" t="n"/>
    </row>
    <row r="14">
      <c r="A14" s="29" t="n"/>
      <c r="B14" s="29" t="n"/>
      <c r="C14" s="29" t="n"/>
      <c r="D14" s="31" t="n"/>
      <c r="E14" s="29" t="n"/>
      <c r="F14" s="29" t="n"/>
      <c r="G14" s="29" t="n"/>
    </row>
    <row r="15">
      <c r="A15" s="29" t="n"/>
      <c r="B15" s="29" t="n"/>
      <c r="C15" s="29" t="n"/>
      <c r="D15" s="31" t="n"/>
      <c r="E15" s="29" t="n"/>
      <c r="F15" s="29" t="n"/>
      <c r="G15" s="29" t="n"/>
    </row>
    <row r="16">
      <c r="A16" s="29" t="n"/>
      <c r="B16" s="29" t="n"/>
      <c r="C16" s="29" t="n"/>
      <c r="D16" s="31" t="n"/>
      <c r="E16" s="29" t="n"/>
      <c r="F16" s="29" t="n"/>
      <c r="G16" s="29" t="n"/>
    </row>
    <row r="17">
      <c r="A17" s="29" t="n"/>
      <c r="B17" s="29" t="n"/>
      <c r="C17" s="29" t="n"/>
      <c r="D17" s="31" t="n"/>
      <c r="E17" s="29" t="n"/>
      <c r="F17" s="29" t="n"/>
      <c r="G17" s="29" t="n"/>
    </row>
    <row r="18">
      <c r="A18" s="29" t="n"/>
      <c r="B18" s="29" t="n"/>
      <c r="C18" s="29" t="n"/>
      <c r="D18" s="31" t="n"/>
      <c r="E18" s="29" t="n"/>
      <c r="F18" s="29" t="n"/>
      <c r="G18" s="29" t="n"/>
    </row>
    <row r="19">
      <c r="A19" s="29" t="n"/>
      <c r="B19" s="29" t="n"/>
      <c r="C19" s="29" t="n"/>
      <c r="D19" s="31" t="n"/>
      <c r="E19" s="29" t="n"/>
      <c r="F19" s="29" t="n"/>
      <c r="G19" s="29" t="n"/>
    </row>
    <row r="20">
      <c r="A20" s="29" t="n"/>
      <c r="B20" s="29" t="n"/>
      <c r="C20" s="29" t="n"/>
      <c r="D20" s="31" t="n"/>
      <c r="E20" s="29" t="n"/>
      <c r="F20" s="29" t="n"/>
      <c r="G20" s="29" t="n"/>
    </row>
    <row r="21">
      <c r="A21" s="29" t="n"/>
      <c r="B21" s="29" t="n"/>
      <c r="C21" s="29" t="n"/>
      <c r="D21" s="31" t="n"/>
      <c r="E21" s="29" t="n"/>
      <c r="F21" s="29" t="n"/>
      <c r="G21" s="29" t="n"/>
    </row>
    <row r="22">
      <c r="A22" s="29" t="n"/>
      <c r="B22" s="29" t="n"/>
      <c r="C22" s="29" t="n"/>
      <c r="D22" s="31" t="n"/>
      <c r="E22" s="29" t="n"/>
      <c r="F22" s="29" t="n"/>
      <c r="G22" s="29" t="n"/>
    </row>
    <row r="23">
      <c r="A23" s="29" t="n"/>
      <c r="B23" s="29" t="n"/>
      <c r="C23" s="29" t="n"/>
      <c r="D23" s="31" t="n"/>
      <c r="E23" s="29" t="n"/>
      <c r="F23" s="29" t="n"/>
      <c r="G23" s="29" t="n"/>
    </row>
    <row r="24">
      <c r="A24" s="29" t="n"/>
      <c r="B24" s="29" t="n"/>
      <c r="C24" s="29" t="n"/>
      <c r="D24" s="31" t="n"/>
      <c r="E24" s="29" t="n"/>
      <c r="F24" s="29" t="n"/>
      <c r="G24" s="29" t="n"/>
    </row>
    <row r="25">
      <c r="A25" s="29" t="n"/>
      <c r="B25" s="29" t="n"/>
      <c r="C25" s="29" t="n"/>
      <c r="D25" s="31" t="n"/>
      <c r="E25" s="29" t="n"/>
      <c r="F25" s="29" t="n"/>
      <c r="G25" s="29" t="n"/>
    </row>
    <row r="26">
      <c r="A26" s="29" t="n"/>
      <c r="B26" s="29" t="n"/>
      <c r="C26" s="29" t="n"/>
      <c r="D26" s="31" t="n"/>
      <c r="E26" s="29" t="n"/>
      <c r="F26" s="29" t="n"/>
      <c r="G26" s="29" t="n"/>
    </row>
    <row r="27">
      <c r="A27" s="29" t="n"/>
      <c r="B27" s="29" t="n"/>
      <c r="C27" s="29" t="n"/>
      <c r="D27" s="31" t="n"/>
      <c r="E27" s="29" t="n"/>
      <c r="F27" s="29" t="n"/>
      <c r="G27" s="29" t="n"/>
    </row>
    <row r="28">
      <c r="A28" s="29" t="n"/>
      <c r="B28" s="29" t="n"/>
      <c r="C28" s="29" t="n"/>
      <c r="D28" s="31" t="n"/>
      <c r="E28" s="29" t="n"/>
      <c r="F28" s="29" t="n"/>
      <c r="G28" s="29" t="n"/>
    </row>
    <row r="29">
      <c r="A29" s="29" t="n"/>
      <c r="B29" s="29" t="n"/>
      <c r="C29" s="29" t="n"/>
      <c r="D29" s="31" t="n"/>
      <c r="E29" s="29" t="n"/>
      <c r="F29" s="29" t="n"/>
      <c r="G29" s="29" t="n"/>
    </row>
    <row r="30">
      <c r="A30" s="29" t="n"/>
      <c r="B30" s="29" t="n"/>
      <c r="C30" s="29" t="n"/>
      <c r="D30" s="31" t="n"/>
      <c r="E30" s="29" t="n"/>
      <c r="F30" s="29" t="n"/>
      <c r="G30" s="29" t="n"/>
    </row>
    <row r="31">
      <c r="A31" s="29" t="n"/>
      <c r="B31" s="29" t="n"/>
      <c r="C31" s="29" t="n"/>
      <c r="D31" s="31" t="n"/>
      <c r="E31" s="29" t="n"/>
      <c r="F31" s="29" t="n"/>
      <c r="G31" s="29" t="n"/>
    </row>
    <row r="32">
      <c r="A32" s="29" t="n"/>
      <c r="B32" s="29" t="n"/>
      <c r="C32" s="29" t="n"/>
      <c r="D32" s="31" t="n"/>
      <c r="E32" s="29" t="n"/>
      <c r="F32" s="29" t="n"/>
      <c r="G32" s="29" t="n"/>
    </row>
    <row r="33">
      <c r="A33" s="29" t="n"/>
      <c r="B33" s="29" t="n"/>
      <c r="C33" s="29" t="n"/>
      <c r="D33" s="31" t="n"/>
      <c r="E33" s="29" t="n"/>
      <c r="F33" s="29" t="n"/>
      <c r="G33" s="29" t="n"/>
    </row>
    <row r="34">
      <c r="A34" s="29" t="n"/>
      <c r="B34" s="29" t="n"/>
      <c r="C34" s="29" t="n"/>
      <c r="D34" s="31" t="n"/>
      <c r="E34" s="29" t="n"/>
      <c r="F34" s="29" t="n"/>
      <c r="G34" s="29" t="n"/>
    </row>
    <row r="35">
      <c r="A35" s="29" t="n"/>
      <c r="B35" s="29" t="n"/>
      <c r="C35" s="29" t="n"/>
      <c r="D35" s="31" t="n"/>
      <c r="E35" s="29" t="n"/>
      <c r="F35" s="29" t="n"/>
      <c r="G35" s="29" t="n"/>
    </row>
    <row r="36">
      <c r="A36" s="29" t="n"/>
      <c r="B36" s="29" t="n"/>
      <c r="C36" s="29" t="n"/>
      <c r="D36" s="31" t="n"/>
      <c r="E36" s="29" t="n"/>
      <c r="F36" s="29" t="n"/>
      <c r="G36" s="29" t="n"/>
    </row>
    <row r="37">
      <c r="A37" s="29" t="n"/>
      <c r="B37" s="29" t="n"/>
      <c r="C37" s="29" t="n"/>
      <c r="D37" s="31" t="n"/>
      <c r="E37" s="29" t="n"/>
      <c r="F37" s="29" t="n"/>
      <c r="G37" s="29" t="n"/>
    </row>
    <row r="38">
      <c r="A38" s="29" t="n"/>
      <c r="B38" s="29" t="n"/>
      <c r="C38" s="29" t="n"/>
      <c r="D38" s="31" t="n"/>
      <c r="E38" s="29" t="n"/>
      <c r="F38" s="29" t="n"/>
      <c r="G38" s="29" t="n"/>
    </row>
    <row r="39">
      <c r="A39" s="29" t="n"/>
      <c r="B39" s="29" t="n"/>
      <c r="C39" s="29" t="n"/>
      <c r="D39" s="31" t="n"/>
      <c r="E39" s="29" t="n"/>
      <c r="F39" s="29" t="n"/>
      <c r="G39" s="29" t="n"/>
    </row>
    <row r="40">
      <c r="A40" s="29" t="n"/>
      <c r="B40" s="29" t="n"/>
      <c r="C40" s="29" t="n"/>
      <c r="D40" s="31" t="n"/>
      <c r="E40" s="29" t="n"/>
      <c r="F40" s="29" t="n"/>
      <c r="G40" s="29" t="n"/>
    </row>
    <row r="41">
      <c r="A41" s="29" t="n"/>
      <c r="B41" s="29" t="n"/>
      <c r="C41" s="29" t="n"/>
      <c r="D41" s="31" t="n"/>
      <c r="E41" s="29" t="n"/>
      <c r="F41" s="29" t="n"/>
      <c r="G41" s="29" t="n"/>
    </row>
    <row r="42">
      <c r="A42" s="29" t="n"/>
      <c r="B42" s="29" t="n"/>
      <c r="C42" s="29" t="n"/>
      <c r="D42" s="31" t="n"/>
      <c r="E42" s="29" t="n"/>
      <c r="F42" s="29" t="n"/>
      <c r="G42" s="29" t="n"/>
    </row>
    <row r="43">
      <c r="A43" s="29" t="n"/>
      <c r="B43" s="29" t="n"/>
      <c r="C43" s="29" t="n"/>
      <c r="D43" s="31" t="n"/>
      <c r="E43" s="29" t="n"/>
      <c r="F43" s="29" t="n"/>
      <c r="G43" s="29" t="n"/>
    </row>
    <row r="44">
      <c r="A44" s="29" t="n"/>
      <c r="B44" s="29" t="n"/>
      <c r="C44" s="29" t="n"/>
      <c r="D44" s="31" t="n"/>
      <c r="E44" s="29" t="n"/>
      <c r="F44" s="29" t="n"/>
      <c r="G44" s="29" t="n"/>
    </row>
    <row r="45">
      <c r="A45" s="29" t="n"/>
      <c r="B45" s="29" t="n"/>
      <c r="C45" s="29" t="n"/>
      <c r="D45" s="31" t="n"/>
      <c r="E45" s="29" t="n"/>
      <c r="F45" s="29" t="n"/>
      <c r="G45" s="29" t="n"/>
    </row>
    <row r="46">
      <c r="A46" s="29" t="n"/>
      <c r="B46" s="29" t="n"/>
      <c r="C46" s="29" t="n"/>
      <c r="D46" s="31" t="n"/>
      <c r="E46" s="29" t="n"/>
      <c r="F46" s="29" t="n"/>
      <c r="G46" s="29" t="n"/>
    </row>
    <row r="47">
      <c r="A47" s="29" t="n"/>
      <c r="B47" s="29" t="n"/>
      <c r="C47" s="29" t="n"/>
      <c r="D47" s="31" t="n"/>
      <c r="E47" s="29" t="n"/>
      <c r="F47" s="29" t="n"/>
      <c r="G47" s="29" t="n"/>
    </row>
    <row r="48">
      <c r="A48" s="29" t="n"/>
      <c r="B48" s="29" t="n"/>
      <c r="C48" s="29" t="n"/>
      <c r="D48" s="31" t="n"/>
      <c r="E48" s="29" t="n"/>
      <c r="F48" s="29" t="n"/>
      <c r="G48" s="29" t="n"/>
    </row>
    <row r="49">
      <c r="A49" s="29" t="n"/>
      <c r="B49" s="29" t="n"/>
      <c r="C49" s="29" t="n"/>
      <c r="D49" s="31" t="n"/>
      <c r="E49" s="29" t="n"/>
      <c r="F49" s="29" t="n"/>
      <c r="G49" s="29" t="n"/>
    </row>
    <row r="50">
      <c r="A50" s="29" t="n"/>
      <c r="B50" s="29" t="n"/>
      <c r="C50" s="29" t="n"/>
      <c r="D50" s="31" t="n"/>
      <c r="E50" s="29" t="n"/>
      <c r="F50" s="29" t="n"/>
      <c r="G50" s="29" t="n"/>
    </row>
    <row r="51">
      <c r="A51" s="29" t="n"/>
      <c r="B51" s="29" t="n"/>
      <c r="C51" s="29" t="n"/>
      <c r="D51" s="31" t="n"/>
      <c r="E51" s="29" t="n"/>
      <c r="F51" s="29" t="n"/>
      <c r="G51" s="29" t="n"/>
    </row>
    <row r="52">
      <c r="A52" s="29" t="n"/>
      <c r="B52" s="29" t="n"/>
      <c r="C52" s="29" t="n"/>
      <c r="D52" s="31" t="n"/>
      <c r="E52" s="29" t="n"/>
      <c r="F52" s="29" t="n"/>
      <c r="G52" s="29" t="n"/>
    </row>
    <row r="53">
      <c r="A53" s="29" t="n"/>
      <c r="B53" s="29" t="n"/>
      <c r="C53" s="29" t="n"/>
      <c r="D53" s="31" t="n"/>
      <c r="E53" s="29" t="n"/>
      <c r="F53" s="29" t="n"/>
      <c r="G53" s="29" t="n"/>
    </row>
    <row r="54">
      <c r="A54" s="29" t="n"/>
      <c r="B54" s="29" t="n"/>
      <c r="C54" s="29" t="n"/>
      <c r="D54" s="31" t="n"/>
      <c r="E54" s="29" t="n"/>
      <c r="F54" s="29" t="n"/>
      <c r="G54" s="29" t="n"/>
    </row>
    <row r="55">
      <c r="A55" s="29" t="n"/>
      <c r="B55" s="29" t="n"/>
      <c r="C55" s="29" t="n"/>
      <c r="D55" s="31" t="n"/>
      <c r="E55" s="29" t="n"/>
      <c r="F55" s="29" t="n"/>
      <c r="G55" s="29" t="n"/>
    </row>
    <row r="56">
      <c r="A56" s="29" t="n"/>
      <c r="B56" s="29" t="n"/>
      <c r="C56" s="29" t="n"/>
      <c r="D56" s="31" t="n"/>
      <c r="E56" s="29" t="n"/>
      <c r="F56" s="29" t="n"/>
      <c r="G56" s="29" t="n"/>
    </row>
    <row r="57">
      <c r="A57" s="29" t="n"/>
      <c r="B57" s="29" t="n"/>
      <c r="C57" s="29" t="n"/>
      <c r="D57" s="31" t="n"/>
      <c r="E57" s="29" t="n"/>
      <c r="F57" s="29" t="n"/>
      <c r="G57" s="29" t="n"/>
    </row>
    <row r="58">
      <c r="A58" s="29" t="n"/>
      <c r="B58" s="29" t="n"/>
      <c r="C58" s="29" t="n"/>
      <c r="D58" s="31" t="n"/>
      <c r="E58" s="29" t="n"/>
      <c r="F58" s="29" t="n"/>
      <c r="G58" s="29" t="n"/>
    </row>
    <row r="59">
      <c r="A59" s="29" t="n"/>
      <c r="B59" s="29" t="n"/>
      <c r="C59" s="29" t="n"/>
      <c r="D59" s="31" t="n"/>
      <c r="E59" s="29" t="n"/>
      <c r="F59" s="29" t="n"/>
      <c r="G59" s="29" t="n"/>
    </row>
    <row r="60">
      <c r="A60" s="29" t="n"/>
      <c r="B60" s="29" t="n"/>
      <c r="C60" s="29" t="n"/>
      <c r="D60" s="31" t="n"/>
      <c r="E60" s="29" t="n"/>
      <c r="F60" s="29" t="n"/>
      <c r="G60" s="29" t="n"/>
    </row>
    <row r="61">
      <c r="A61" s="29" t="n"/>
      <c r="B61" s="29" t="n"/>
      <c r="C61" s="29" t="n"/>
      <c r="D61" s="31" t="n"/>
      <c r="E61" s="29" t="n"/>
      <c r="F61" s="29" t="n"/>
      <c r="G61" s="29" t="n"/>
    </row>
    <row r="62">
      <c r="A62" s="29" t="n"/>
      <c r="B62" s="29" t="n"/>
      <c r="C62" s="29" t="n"/>
      <c r="D62" s="31" t="n"/>
      <c r="E62" s="29" t="n"/>
      <c r="F62" s="29" t="n"/>
      <c r="G62" s="29" t="n"/>
    </row>
    <row r="63">
      <c r="A63" s="29" t="n"/>
      <c r="B63" s="29" t="n"/>
      <c r="C63" s="29" t="n"/>
      <c r="D63" s="31" t="n"/>
      <c r="E63" s="29" t="n"/>
      <c r="F63" s="29" t="n"/>
      <c r="G63" s="29" t="n"/>
    </row>
    <row r="64">
      <c r="A64" s="29" t="n"/>
      <c r="B64" s="29" t="n"/>
      <c r="C64" s="29" t="n"/>
      <c r="D64" s="31" t="n"/>
      <c r="E64" s="29" t="n"/>
      <c r="F64" s="29" t="n"/>
      <c r="G64" s="29" t="n"/>
    </row>
    <row r="65">
      <c r="A65" s="29" t="n"/>
      <c r="B65" s="29" t="n"/>
      <c r="C65" s="29" t="n"/>
      <c r="D65" s="31" t="n"/>
      <c r="E65" s="29" t="n"/>
      <c r="F65" s="29" t="n"/>
      <c r="G65" s="29" t="n"/>
    </row>
    <row r="66">
      <c r="A66" s="29" t="n"/>
      <c r="B66" s="29" t="n"/>
      <c r="C66" s="29" t="n"/>
      <c r="D66" s="31" t="n"/>
      <c r="E66" s="29" t="n"/>
      <c r="F66" s="29" t="n"/>
      <c r="G66" s="29" t="n"/>
    </row>
    <row r="67">
      <c r="A67" s="29" t="n"/>
      <c r="B67" s="29" t="n"/>
      <c r="C67" s="29" t="n"/>
      <c r="D67" s="31" t="n"/>
      <c r="E67" s="29" t="n"/>
      <c r="F67" s="29" t="n"/>
      <c r="G67" s="29" t="n"/>
    </row>
    <row r="68">
      <c r="A68" s="29" t="n"/>
      <c r="B68" s="29" t="n"/>
      <c r="C68" s="29" t="n"/>
      <c r="D68" s="31" t="n"/>
      <c r="E68" s="29" t="n"/>
      <c r="F68" s="29" t="n"/>
      <c r="G68" s="29" t="n"/>
    </row>
    <row r="69">
      <c r="A69" s="29" t="n"/>
      <c r="B69" s="29" t="n"/>
      <c r="C69" s="29" t="n"/>
      <c r="D69" s="31" t="n"/>
      <c r="E69" s="29" t="n"/>
      <c r="F69" s="29" t="n"/>
      <c r="G69" s="29" t="n"/>
    </row>
    <row r="70">
      <c r="A70" s="29" t="n"/>
      <c r="B70" s="29" t="n"/>
      <c r="C70" s="29" t="n"/>
      <c r="D70" s="31" t="n"/>
      <c r="E70" s="29" t="n"/>
      <c r="F70" s="29" t="n"/>
      <c r="G70" s="29" t="n"/>
    </row>
    <row r="71">
      <c r="A71" s="29" t="n"/>
      <c r="B71" s="29" t="n"/>
      <c r="C71" s="29" t="n"/>
      <c r="D71" s="31" t="n"/>
      <c r="E71" s="29" t="n"/>
      <c r="F71" s="29" t="n"/>
      <c r="G71" s="29" t="n"/>
    </row>
    <row r="72">
      <c r="A72" s="29" t="n"/>
      <c r="B72" s="29" t="n"/>
      <c r="C72" s="29" t="n"/>
      <c r="D72" s="31" t="n"/>
      <c r="E72" s="29" t="n"/>
      <c r="F72" s="29" t="n"/>
      <c r="G72" s="29" t="n"/>
    </row>
    <row r="73">
      <c r="A73" s="29" t="n"/>
      <c r="B73" s="29" t="n"/>
      <c r="C73" s="29" t="n"/>
      <c r="D73" s="31" t="n"/>
      <c r="E73" s="29" t="n"/>
      <c r="F73" s="29" t="n"/>
      <c r="G73" s="29" t="n"/>
    </row>
    <row r="74">
      <c r="A74" s="29" t="n"/>
      <c r="B74" s="29" t="n"/>
      <c r="C74" s="29" t="n"/>
      <c r="D74" s="31" t="n"/>
      <c r="E74" s="29" t="n"/>
      <c r="F74" s="29" t="n"/>
      <c r="G74" s="29" t="n"/>
    </row>
    <row r="75">
      <c r="A75" s="29" t="n"/>
      <c r="B75" s="29" t="n"/>
      <c r="C75" s="29" t="n"/>
      <c r="D75" s="31" t="n"/>
      <c r="E75" s="29" t="n"/>
      <c r="F75" s="29" t="n"/>
      <c r="G75" s="29" t="n"/>
    </row>
    <row r="76">
      <c r="A76" s="29" t="n"/>
      <c r="B76" s="29" t="n"/>
      <c r="C76" s="29" t="n"/>
      <c r="D76" s="31" t="n"/>
      <c r="E76" s="29" t="n"/>
      <c r="F76" s="29" t="n"/>
      <c r="G76" s="29" t="n"/>
    </row>
    <row r="77">
      <c r="A77" s="29" t="n"/>
      <c r="B77" s="29" t="n"/>
      <c r="C77" s="29" t="n"/>
      <c r="D77" s="31" t="n"/>
      <c r="E77" s="29" t="n"/>
      <c r="F77" s="29" t="n"/>
      <c r="G77" s="29" t="n"/>
    </row>
    <row r="78">
      <c r="A78" s="29" t="n"/>
      <c r="B78" s="29" t="n"/>
      <c r="C78" s="29" t="n"/>
      <c r="D78" s="31" t="n"/>
      <c r="E78" s="29" t="n"/>
      <c r="F78" s="29" t="n"/>
      <c r="G78" s="29" t="n"/>
    </row>
    <row r="79">
      <c r="A79" s="29" t="n"/>
      <c r="B79" s="29" t="n"/>
      <c r="C79" s="29" t="n"/>
      <c r="D79" s="31" t="n"/>
      <c r="E79" s="29" t="n"/>
      <c r="F79" s="29" t="n"/>
      <c r="G79" s="29" t="n"/>
    </row>
    <row r="80">
      <c r="A80" s="29" t="n"/>
      <c r="B80" s="29" t="n"/>
      <c r="C80" s="29" t="n"/>
      <c r="D80" s="31" t="n"/>
      <c r="E80" s="29" t="n"/>
      <c r="F80" s="29" t="n"/>
      <c r="G80" s="29" t="n"/>
    </row>
    <row r="81">
      <c r="A81" s="29" t="n"/>
      <c r="B81" s="29" t="n"/>
      <c r="C81" s="29" t="n"/>
      <c r="D81" s="31" t="n"/>
      <c r="E81" s="29" t="n"/>
      <c r="F81" s="29" t="n"/>
      <c r="G81" s="29" t="n"/>
    </row>
    <row r="82">
      <c r="A82" s="29" t="n"/>
      <c r="B82" s="29" t="n"/>
      <c r="C82" s="29" t="n"/>
      <c r="D82" s="31" t="n"/>
      <c r="E82" s="29" t="n"/>
      <c r="F82" s="29" t="n"/>
      <c r="G82" s="29" t="n"/>
    </row>
    <row r="83">
      <c r="A83" s="29" t="n"/>
      <c r="B83" s="29" t="n"/>
      <c r="C83" s="29" t="n"/>
      <c r="D83" s="31" t="n"/>
      <c r="E83" s="29" t="n"/>
      <c r="F83" s="29" t="n"/>
      <c r="G83" s="29" t="n"/>
    </row>
    <row r="84">
      <c r="A84" s="29" t="n"/>
      <c r="B84" s="29" t="n"/>
      <c r="C84" s="29" t="n"/>
      <c r="D84" s="31" t="n"/>
      <c r="E84" s="29" t="n"/>
      <c r="F84" s="29" t="n"/>
      <c r="G84" s="29" t="n"/>
    </row>
    <row r="85">
      <c r="A85" s="29" t="n"/>
      <c r="B85" s="29" t="n"/>
      <c r="C85" s="29" t="n"/>
      <c r="D85" s="31" t="n"/>
      <c r="E85" s="29" t="n"/>
      <c r="F85" s="29" t="n"/>
      <c r="G85" s="29" t="n"/>
    </row>
    <row r="86">
      <c r="A86" s="29" t="n"/>
      <c r="B86" s="29" t="n"/>
      <c r="C86" s="29" t="n"/>
      <c r="D86" s="31" t="n"/>
      <c r="E86" s="29" t="n"/>
      <c r="F86" s="29" t="n"/>
      <c r="G86" s="29" t="n"/>
    </row>
    <row r="87">
      <c r="A87" s="29" t="n"/>
      <c r="B87" s="29" t="n"/>
      <c r="C87" s="29" t="n"/>
      <c r="D87" s="31" t="n"/>
      <c r="E87" s="29" t="n"/>
      <c r="F87" s="29" t="n"/>
      <c r="G87" s="29" t="n"/>
    </row>
    <row r="88">
      <c r="A88" s="29" t="n"/>
      <c r="B88" s="29" t="n"/>
      <c r="C88" s="29" t="n"/>
      <c r="D88" s="31" t="n"/>
      <c r="E88" s="29" t="n"/>
      <c r="F88" s="29" t="n"/>
      <c r="G88" s="29" t="n"/>
    </row>
    <row r="89">
      <c r="A89" s="29" t="n"/>
      <c r="B89" s="29" t="n"/>
      <c r="C89" s="29" t="n"/>
      <c r="D89" s="31" t="n"/>
      <c r="E89" s="29" t="n"/>
      <c r="F89" s="29" t="n"/>
      <c r="G89" s="29" t="n"/>
    </row>
    <row r="90">
      <c r="A90" s="29" t="n"/>
      <c r="B90" s="29" t="n"/>
      <c r="C90" s="29" t="n"/>
      <c r="D90" s="31" t="n"/>
      <c r="E90" s="29" t="n"/>
      <c r="F90" s="29" t="n"/>
      <c r="G90" s="29" t="n"/>
    </row>
    <row r="91">
      <c r="A91" s="29" t="n"/>
      <c r="B91" s="29" t="n"/>
      <c r="C91" s="29" t="n"/>
      <c r="D91" s="31" t="n"/>
      <c r="E91" s="29" t="n"/>
      <c r="F91" s="29" t="n"/>
      <c r="G91" s="29" t="n"/>
    </row>
    <row r="92">
      <c r="A92" s="29" t="n"/>
      <c r="B92" s="29" t="n"/>
      <c r="C92" s="29" t="n"/>
      <c r="D92" s="31" t="n"/>
      <c r="E92" s="29" t="n"/>
      <c r="F92" s="29" t="n"/>
      <c r="G92" s="29" t="n"/>
    </row>
    <row r="93">
      <c r="A93" s="29" t="n"/>
      <c r="B93" s="29" t="n"/>
      <c r="C93" s="29" t="n"/>
      <c r="D93" s="31" t="n"/>
      <c r="E93" s="29" t="n"/>
      <c r="F93" s="29" t="n"/>
      <c r="G93" s="29" t="n"/>
    </row>
    <row r="94">
      <c r="A94" s="29" t="n"/>
      <c r="B94" s="29" t="n"/>
      <c r="C94" s="29" t="n"/>
      <c r="D94" s="31" t="n"/>
      <c r="E94" s="29" t="n"/>
      <c r="F94" s="29" t="n"/>
      <c r="G94" s="29" t="n"/>
    </row>
    <row r="95">
      <c r="A95" s="29" t="n"/>
      <c r="B95" s="29" t="n"/>
      <c r="C95" s="29" t="n"/>
      <c r="D95" s="31" t="n"/>
      <c r="E95" s="29" t="n"/>
      <c r="F95" s="29" t="n"/>
      <c r="G95" s="29" t="n"/>
    </row>
    <row r="96">
      <c r="A96" s="29" t="n"/>
      <c r="B96" s="29" t="n"/>
      <c r="C96" s="29" t="n"/>
      <c r="D96" s="31" t="n"/>
      <c r="E96" s="29" t="n"/>
      <c r="F96" s="29" t="n"/>
      <c r="G96" s="29" t="n"/>
    </row>
    <row r="97">
      <c r="A97" s="29" t="n"/>
      <c r="B97" s="29" t="n"/>
      <c r="C97" s="29" t="n"/>
      <c r="D97" s="31" t="n"/>
      <c r="E97" s="29" t="n"/>
      <c r="F97" s="29" t="n"/>
      <c r="G97" s="29" t="n"/>
    </row>
    <row r="98">
      <c r="A98" s="29" t="n"/>
      <c r="B98" s="29" t="n"/>
      <c r="C98" s="29" t="n"/>
      <c r="D98" s="31" t="n"/>
      <c r="E98" s="29" t="n"/>
      <c r="F98" s="29" t="n"/>
      <c r="G98" s="29" t="n"/>
    </row>
    <row r="99">
      <c r="A99" s="29" t="n"/>
      <c r="B99" s="29" t="n"/>
      <c r="C99" s="29" t="n"/>
      <c r="D99" s="31" t="n"/>
      <c r="E99" s="29" t="n"/>
      <c r="F99" s="29" t="n"/>
      <c r="G99" s="29" t="n"/>
    </row>
    <row r="100">
      <c r="A100" s="29" t="n"/>
      <c r="B100" s="29" t="n"/>
      <c r="C100" s="29" t="n"/>
      <c r="D100" s="31" t="n"/>
      <c r="E100" s="29" t="n"/>
      <c r="F100" s="29" t="n"/>
      <c r="G100" s="29" t="n"/>
    </row>
    <row r="101">
      <c r="A101" s="29" t="n"/>
      <c r="B101" s="29" t="n"/>
      <c r="C101" s="29" t="n"/>
      <c r="D101" s="31" t="n"/>
      <c r="E101" s="29" t="n"/>
      <c r="F101" s="29" t="n"/>
      <c r="G101" s="29" t="n"/>
    </row>
    <row r="102">
      <c r="A102" s="29" t="n"/>
      <c r="B102" s="29" t="n"/>
      <c r="C102" s="29" t="n"/>
      <c r="D102" s="31" t="n"/>
      <c r="E102" s="29" t="n"/>
      <c r="F102" s="29" t="n"/>
      <c r="G102" s="29" t="n"/>
    </row>
    <row r="103">
      <c r="A103" s="29" t="n"/>
      <c r="B103" s="29" t="n"/>
      <c r="C103" s="29" t="n"/>
      <c r="D103" s="31" t="n"/>
      <c r="E103" s="29" t="n"/>
      <c r="F103" s="29" t="n"/>
      <c r="G103" s="29" t="n"/>
    </row>
    <row r="104">
      <c r="A104" s="29" t="n"/>
      <c r="B104" s="29" t="n"/>
      <c r="C104" s="29" t="n"/>
      <c r="D104" s="31" t="n"/>
      <c r="E104" s="29" t="n"/>
      <c r="F104" s="29" t="n"/>
      <c r="G104" s="29" t="n"/>
    </row>
    <row r="105">
      <c r="A105" s="29" t="n"/>
      <c r="B105" s="29" t="n"/>
      <c r="C105" s="29" t="n"/>
      <c r="D105" s="31" t="n"/>
      <c r="E105" s="29" t="n"/>
      <c r="F105" s="29" t="n"/>
      <c r="G105" s="29" t="n"/>
    </row>
    <row r="106">
      <c r="A106" s="29" t="n"/>
      <c r="B106" s="29" t="n"/>
      <c r="C106" s="29" t="n"/>
      <c r="D106" s="31" t="n"/>
      <c r="E106" s="29" t="n"/>
      <c r="F106" s="29" t="n"/>
      <c r="G106" s="29" t="n"/>
    </row>
    <row r="107">
      <c r="A107" s="29" t="n"/>
      <c r="B107" s="29" t="n"/>
      <c r="C107" s="29" t="n"/>
      <c r="D107" s="31" t="n"/>
      <c r="E107" s="29" t="n"/>
      <c r="F107" s="29" t="n"/>
      <c r="G107" s="29" t="n"/>
    </row>
    <row r="108">
      <c r="A108" s="29" t="n"/>
      <c r="B108" s="29" t="n"/>
      <c r="C108" s="29" t="n"/>
      <c r="D108" s="31" t="n"/>
      <c r="E108" s="29" t="n"/>
      <c r="F108" s="29" t="n"/>
      <c r="G108" s="29" t="n"/>
    </row>
    <row r="109">
      <c r="A109" s="29" t="n"/>
      <c r="B109" s="29" t="n"/>
      <c r="C109" s="29" t="n"/>
      <c r="D109" s="31" t="n"/>
      <c r="E109" s="29" t="n"/>
      <c r="F109" s="29" t="n"/>
      <c r="G109" s="29" t="n"/>
    </row>
    <row r="110">
      <c r="A110" s="29" t="n"/>
      <c r="B110" s="29" t="n"/>
      <c r="C110" s="29" t="n"/>
      <c r="D110" s="31" t="n"/>
      <c r="E110" s="29" t="n"/>
      <c r="F110" s="29" t="n"/>
      <c r="G110" s="29" t="n"/>
    </row>
    <row r="111">
      <c r="A111" s="29" t="n"/>
      <c r="B111" s="29" t="n"/>
      <c r="C111" s="29" t="n"/>
      <c r="D111" s="31" t="n"/>
      <c r="E111" s="29" t="n"/>
      <c r="F111" s="29" t="n"/>
      <c r="G111" s="29" t="n"/>
    </row>
    <row r="112">
      <c r="A112" s="29" t="n"/>
      <c r="B112" s="29" t="n"/>
      <c r="C112" s="29" t="n"/>
      <c r="D112" s="31" t="n"/>
      <c r="E112" s="29" t="n"/>
      <c r="F112" s="29" t="n"/>
      <c r="G112" s="29" t="n"/>
    </row>
    <row r="113">
      <c r="A113" s="29" t="n"/>
      <c r="B113" s="29" t="n"/>
      <c r="C113" s="29" t="n"/>
      <c r="D113" s="31" t="n"/>
      <c r="E113" s="29" t="n"/>
      <c r="F113" s="29" t="n"/>
      <c r="G113" s="29" t="n"/>
    </row>
    <row r="114">
      <c r="A114" s="29" t="n"/>
      <c r="B114" s="29" t="n"/>
      <c r="C114" s="29" t="n"/>
      <c r="D114" s="31" t="n"/>
      <c r="E114" s="29" t="n"/>
      <c r="F114" s="29" t="n"/>
      <c r="G114" s="29" t="n"/>
    </row>
    <row r="115">
      <c r="A115" s="29" t="n"/>
      <c r="B115" s="29" t="n"/>
      <c r="C115" s="29" t="n"/>
      <c r="D115" s="31" t="n"/>
      <c r="E115" s="29" t="n"/>
      <c r="F115" s="29" t="n"/>
      <c r="G115" s="29" t="n"/>
    </row>
    <row r="116">
      <c r="A116" s="29" t="n"/>
      <c r="B116" s="29" t="n"/>
      <c r="C116" s="29" t="n"/>
      <c r="D116" s="31" t="n"/>
      <c r="E116" s="29" t="n"/>
      <c r="F116" s="29" t="n"/>
      <c r="G116" s="29" t="n"/>
    </row>
    <row r="117">
      <c r="A117" s="29" t="n"/>
      <c r="B117" s="29" t="n"/>
      <c r="C117" s="29" t="n"/>
      <c r="D117" s="31" t="n"/>
      <c r="E117" s="29" t="n"/>
      <c r="F117" s="29" t="n"/>
      <c r="G117" s="29" t="n"/>
    </row>
    <row r="118">
      <c r="A118" s="29" t="n"/>
      <c r="B118" s="29" t="n"/>
      <c r="C118" s="29" t="n"/>
      <c r="D118" s="31" t="n"/>
      <c r="E118" s="29" t="n"/>
      <c r="F118" s="29" t="n"/>
      <c r="G118" s="29" t="n"/>
    </row>
    <row r="119">
      <c r="A119" s="29" t="n"/>
      <c r="B119" s="29" t="n"/>
      <c r="C119" s="29" t="n"/>
      <c r="D119" s="31" t="n"/>
      <c r="E119" s="29" t="n"/>
      <c r="F119" s="29" t="n"/>
      <c r="G119" s="29" t="n"/>
    </row>
    <row r="120">
      <c r="A120" s="29" t="n"/>
      <c r="B120" s="29" t="n"/>
      <c r="C120" s="29" t="n"/>
      <c r="D120" s="31" t="n"/>
      <c r="E120" s="29" t="n"/>
      <c r="F120" s="29" t="n"/>
      <c r="G120" s="29" t="n"/>
    </row>
    <row r="121">
      <c r="A121" s="29" t="n"/>
      <c r="B121" s="29" t="n"/>
      <c r="C121" s="29" t="n"/>
      <c r="D121" s="31" t="n"/>
      <c r="E121" s="29" t="n"/>
      <c r="F121" s="29" t="n"/>
      <c r="G121" s="29" t="n"/>
    </row>
    <row r="122">
      <c r="A122" s="29" t="n"/>
      <c r="B122" s="29" t="n"/>
      <c r="C122" s="29" t="n"/>
      <c r="D122" s="31" t="n"/>
      <c r="E122" s="29" t="n"/>
      <c r="F122" s="29" t="n"/>
      <c r="G122" s="29" t="n"/>
    </row>
    <row r="123">
      <c r="A123" s="29" t="n"/>
      <c r="B123" s="29" t="n"/>
      <c r="C123" s="29" t="n"/>
      <c r="D123" s="31" t="n"/>
      <c r="E123" s="29" t="n"/>
      <c r="F123" s="29" t="n"/>
      <c r="G123" s="29" t="n"/>
    </row>
    <row r="124">
      <c r="A124" s="29" t="n"/>
      <c r="B124" s="29" t="n"/>
      <c r="C124" s="29" t="n"/>
      <c r="D124" s="31" t="n"/>
      <c r="E124" s="29" t="n"/>
      <c r="F124" s="29" t="n"/>
      <c r="G124" s="29" t="n"/>
    </row>
    <row r="125">
      <c r="A125" s="29" t="n"/>
      <c r="B125" s="29" t="n"/>
      <c r="C125" s="29" t="n"/>
      <c r="D125" s="31" t="n"/>
      <c r="E125" s="29" t="n"/>
      <c r="F125" s="29" t="n"/>
      <c r="G125" s="29" t="n"/>
    </row>
    <row r="126">
      <c r="A126" s="29" t="n"/>
      <c r="B126" s="29" t="n"/>
      <c r="C126" s="29" t="n"/>
      <c r="D126" s="31" t="n"/>
      <c r="E126" s="29" t="n"/>
      <c r="F126" s="29" t="n"/>
      <c r="G126" s="29" t="n"/>
    </row>
    <row r="127">
      <c r="A127" s="29" t="n"/>
      <c r="B127" s="29" t="n"/>
      <c r="C127" s="29" t="n"/>
      <c r="D127" s="31" t="n"/>
      <c r="E127" s="29" t="n"/>
      <c r="F127" s="29" t="n"/>
      <c r="G127" s="29" t="n"/>
    </row>
    <row r="128">
      <c r="A128" s="29" t="n"/>
      <c r="B128" s="29" t="n"/>
      <c r="C128" s="29" t="n"/>
      <c r="D128" s="31" t="n"/>
      <c r="E128" s="29" t="n"/>
      <c r="F128" s="29" t="n"/>
      <c r="G128" s="29" t="n"/>
    </row>
    <row r="129">
      <c r="A129" s="29" t="n"/>
      <c r="B129" s="29" t="n"/>
      <c r="C129" s="29" t="n"/>
      <c r="D129" s="31" t="n"/>
      <c r="E129" s="29" t="n"/>
      <c r="F129" s="29" t="n"/>
      <c r="G129" s="29" t="n"/>
    </row>
    <row r="130">
      <c r="A130" s="29" t="n"/>
      <c r="B130" s="29" t="n"/>
      <c r="C130" s="29" t="n"/>
      <c r="D130" s="31" t="n"/>
      <c r="E130" s="29" t="n"/>
      <c r="F130" s="29" t="n"/>
      <c r="G130" s="29" t="n"/>
    </row>
    <row r="131">
      <c r="A131" s="29" t="n"/>
      <c r="B131" s="29" t="n"/>
      <c r="C131" s="29" t="n"/>
      <c r="D131" s="31" t="n"/>
      <c r="E131" s="29" t="n"/>
      <c r="F131" s="29" t="n"/>
      <c r="G131" s="29" t="n"/>
    </row>
    <row r="132">
      <c r="A132" s="29" t="n"/>
      <c r="B132" s="29" t="n"/>
      <c r="C132" s="29" t="n"/>
      <c r="D132" s="31" t="n"/>
      <c r="E132" s="29" t="n"/>
      <c r="F132" s="29" t="n"/>
      <c r="G132" s="29" t="n"/>
    </row>
    <row r="133">
      <c r="A133" s="29" t="n"/>
      <c r="B133" s="29" t="n"/>
      <c r="C133" s="29" t="n"/>
      <c r="D133" s="31" t="n"/>
      <c r="E133" s="29" t="n"/>
      <c r="F133" s="29" t="n"/>
      <c r="G133" s="29" t="n"/>
    </row>
    <row r="134">
      <c r="A134" s="29" t="n"/>
      <c r="B134" s="29" t="n"/>
      <c r="C134" s="29" t="n"/>
      <c r="D134" s="31" t="n"/>
      <c r="E134" s="29" t="n"/>
      <c r="F134" s="29" t="n"/>
      <c r="G134" s="29" t="n"/>
    </row>
    <row r="135">
      <c r="A135" s="29" t="n"/>
      <c r="B135" s="29" t="n"/>
      <c r="C135" s="29" t="n"/>
      <c r="D135" s="31" t="n"/>
      <c r="E135" s="29" t="n"/>
      <c r="F135" s="29" t="n"/>
      <c r="G135" s="29" t="n"/>
    </row>
    <row r="136">
      <c r="A136" s="29" t="n"/>
      <c r="B136" s="29" t="n"/>
      <c r="C136" s="29" t="n"/>
      <c r="D136" s="31" t="n"/>
      <c r="E136" s="29" t="n"/>
      <c r="F136" s="29" t="n"/>
      <c r="G136" s="29" t="n"/>
    </row>
    <row r="137">
      <c r="A137" s="29" t="n"/>
      <c r="B137" s="29" t="n"/>
      <c r="C137" s="29" t="n"/>
      <c r="D137" s="31" t="n"/>
      <c r="E137" s="29" t="n"/>
      <c r="F137" s="29" t="n"/>
      <c r="G137" s="29" t="n"/>
    </row>
    <row r="138">
      <c r="A138" s="29" t="n"/>
      <c r="B138" s="29" t="n"/>
      <c r="C138" s="29" t="n"/>
      <c r="D138" s="31" t="n"/>
      <c r="E138" s="29" t="n"/>
      <c r="F138" s="29" t="n"/>
      <c r="G138" s="29" t="n"/>
    </row>
    <row r="139">
      <c r="A139" s="29" t="n"/>
      <c r="B139" s="29" t="n"/>
      <c r="C139" s="29" t="n"/>
      <c r="D139" s="31" t="n"/>
      <c r="E139" s="29" t="n"/>
      <c r="F139" s="29" t="n"/>
      <c r="G139" s="29" t="n"/>
    </row>
    <row r="140">
      <c r="A140" s="29" t="n"/>
      <c r="B140" s="29" t="n"/>
      <c r="C140" s="29" t="n"/>
      <c r="D140" s="31" t="n"/>
      <c r="E140" s="29" t="n"/>
      <c r="F140" s="29" t="n"/>
      <c r="G140" s="29" t="n"/>
    </row>
    <row r="141">
      <c r="A141" s="29" t="n"/>
      <c r="B141" s="29" t="n"/>
      <c r="C141" s="29" t="n"/>
      <c r="D141" s="31" t="n"/>
      <c r="E141" s="29" t="n"/>
      <c r="F141" s="29" t="n"/>
      <c r="G141" s="29" t="n"/>
    </row>
    <row r="142">
      <c r="A142" s="29" t="n"/>
      <c r="B142" s="29" t="n"/>
      <c r="C142" s="29" t="n"/>
      <c r="D142" s="31" t="n"/>
      <c r="E142" s="29" t="n"/>
      <c r="F142" s="29" t="n"/>
      <c r="G142" s="29" t="n"/>
    </row>
    <row r="143">
      <c r="A143" s="29" t="n"/>
      <c r="B143" s="29" t="n"/>
      <c r="C143" s="29" t="n"/>
      <c r="D143" s="31" t="n"/>
      <c r="E143" s="29" t="n"/>
      <c r="F143" s="29" t="n"/>
      <c r="G143" s="29" t="n"/>
    </row>
    <row r="144">
      <c r="A144" s="29" t="n"/>
      <c r="B144" s="29" t="n"/>
      <c r="C144" s="29" t="n"/>
      <c r="D144" s="31" t="n"/>
      <c r="E144" s="29" t="n"/>
      <c r="F144" s="29" t="n"/>
      <c r="G144" s="29" t="n"/>
    </row>
    <row r="145">
      <c r="A145" s="29" t="n"/>
      <c r="B145" s="29" t="n"/>
      <c r="C145" s="29" t="n"/>
      <c r="D145" s="31" t="n"/>
      <c r="E145" s="29" t="n"/>
      <c r="F145" s="29" t="n"/>
      <c r="G145" s="29" t="n"/>
    </row>
    <row r="146">
      <c r="A146" s="29" t="n"/>
      <c r="B146" s="29" t="n"/>
      <c r="C146" s="29" t="n"/>
      <c r="D146" s="31" t="n"/>
      <c r="E146" s="29" t="n"/>
      <c r="F146" s="29" t="n"/>
      <c r="G146" s="29" t="n"/>
    </row>
    <row r="147">
      <c r="A147" s="29" t="n"/>
      <c r="B147" s="29" t="n"/>
      <c r="C147" s="29" t="n"/>
      <c r="D147" s="31" t="n"/>
      <c r="E147" s="29" t="n"/>
      <c r="F147" s="29" t="n"/>
      <c r="G147" s="29" t="n"/>
    </row>
    <row r="148">
      <c r="A148" s="29" t="n"/>
      <c r="B148" s="29" t="n"/>
      <c r="C148" s="29" t="n"/>
      <c r="D148" s="31" t="n"/>
      <c r="E148" s="29" t="n"/>
      <c r="F148" s="29" t="n"/>
      <c r="G148" s="29" t="n"/>
    </row>
    <row r="149">
      <c r="A149" s="29" t="n"/>
      <c r="B149" s="29" t="n"/>
      <c r="C149" s="29" t="n"/>
      <c r="D149" s="31" t="n"/>
      <c r="E149" s="29" t="n"/>
      <c r="F149" s="29" t="n"/>
      <c r="G149" s="29" t="n"/>
    </row>
    <row r="150">
      <c r="A150" s="29" t="n"/>
      <c r="B150" s="29" t="n"/>
      <c r="C150" s="29" t="n"/>
      <c r="D150" s="31" t="n"/>
      <c r="E150" s="29" t="n"/>
      <c r="F150" s="29" t="n"/>
      <c r="G150" s="29" t="n"/>
    </row>
    <row r="151">
      <c r="A151" s="29" t="n"/>
      <c r="B151" s="29" t="n"/>
      <c r="C151" s="29" t="n"/>
      <c r="D151" s="31" t="n"/>
      <c r="E151" s="29" t="n"/>
      <c r="F151" s="29" t="n"/>
      <c r="G151" s="29" t="n"/>
    </row>
    <row r="152">
      <c r="A152" s="29" t="n"/>
      <c r="B152" s="29" t="n"/>
      <c r="C152" s="29" t="n"/>
      <c r="D152" s="31" t="n"/>
      <c r="E152" s="29" t="n"/>
      <c r="F152" s="29" t="n"/>
      <c r="G152" s="29" t="n"/>
    </row>
    <row r="153">
      <c r="A153" s="29" t="n"/>
      <c r="B153" s="29" t="n"/>
      <c r="C153" s="29" t="n"/>
      <c r="D153" s="31" t="n"/>
      <c r="E153" s="29" t="n"/>
      <c r="F153" s="29" t="n"/>
      <c r="G153" s="29" t="n"/>
    </row>
    <row r="154">
      <c r="A154" s="29" t="n"/>
      <c r="B154" s="29" t="n"/>
      <c r="C154" s="29" t="n"/>
      <c r="D154" s="31" t="n"/>
      <c r="E154" s="29" t="n"/>
      <c r="F154" s="29" t="n"/>
      <c r="G154" s="29" t="n"/>
    </row>
    <row r="155">
      <c r="A155" s="29" t="n"/>
      <c r="B155" s="29" t="n"/>
      <c r="C155" s="29" t="n"/>
      <c r="D155" s="31" t="n"/>
      <c r="E155" s="29" t="n"/>
      <c r="F155" s="29" t="n"/>
      <c r="G155" s="29" t="n"/>
    </row>
    <row r="156">
      <c r="A156" s="29" t="n"/>
      <c r="B156" s="29" t="n"/>
      <c r="C156" s="29" t="n"/>
      <c r="D156" s="31" t="n"/>
      <c r="E156" s="29" t="n"/>
      <c r="F156" s="29" t="n"/>
      <c r="G156" s="29" t="n"/>
    </row>
    <row r="157">
      <c r="A157" s="29" t="n"/>
      <c r="B157" s="29" t="n"/>
      <c r="C157" s="29" t="n"/>
      <c r="D157" s="31" t="n"/>
      <c r="E157" s="29" t="n"/>
      <c r="F157" s="29" t="n"/>
      <c r="G157" s="29" t="n"/>
    </row>
    <row r="158">
      <c r="A158" s="29" t="n"/>
      <c r="B158" s="29" t="n"/>
      <c r="C158" s="29" t="n"/>
      <c r="D158" s="31" t="n"/>
      <c r="E158" s="29" t="n"/>
      <c r="F158" s="29" t="n"/>
      <c r="G158" s="29" t="n"/>
    </row>
    <row r="159">
      <c r="A159" s="29" t="n"/>
      <c r="B159" s="29" t="n"/>
      <c r="C159" s="29" t="n"/>
      <c r="D159" s="31" t="n"/>
      <c r="E159" s="29" t="n"/>
      <c r="F159" s="29" t="n"/>
      <c r="G159" s="29" t="n"/>
    </row>
    <row r="160">
      <c r="A160" s="29" t="n"/>
      <c r="B160" s="29" t="n"/>
      <c r="C160" s="29" t="n"/>
      <c r="D160" s="31" t="n"/>
      <c r="E160" s="29" t="n"/>
      <c r="F160" s="29" t="n"/>
      <c r="G160" s="29" t="n"/>
    </row>
    <row r="161">
      <c r="A161" s="29" t="n"/>
      <c r="B161" s="29" t="n"/>
      <c r="C161" s="29" t="n"/>
      <c r="D161" s="31" t="n"/>
      <c r="E161" s="29" t="n"/>
      <c r="F161" s="29" t="n"/>
      <c r="G161" s="29" t="n"/>
    </row>
    <row r="162">
      <c r="A162" s="29" t="n"/>
      <c r="B162" s="29" t="n"/>
      <c r="C162" s="29" t="n"/>
      <c r="D162" s="31" t="n"/>
      <c r="E162" s="29" t="n"/>
      <c r="F162" s="29" t="n"/>
      <c r="G162" s="29" t="n"/>
    </row>
    <row r="163">
      <c r="A163" s="29" t="n"/>
      <c r="B163" s="29" t="n"/>
      <c r="C163" s="29" t="n"/>
      <c r="D163" s="31" t="n"/>
      <c r="E163" s="29" t="n"/>
      <c r="F163" s="29" t="n"/>
      <c r="G163" s="29" t="n"/>
    </row>
    <row r="164">
      <c r="A164" s="29" t="n"/>
      <c r="B164" s="29" t="n"/>
      <c r="C164" s="29" t="n"/>
      <c r="D164" s="31" t="n"/>
      <c r="E164" s="29" t="n"/>
      <c r="F164" s="29" t="n"/>
      <c r="G164" s="29" t="n"/>
    </row>
    <row r="165">
      <c r="A165" s="29" t="n"/>
      <c r="B165" s="29" t="n"/>
      <c r="C165" s="29" t="n"/>
      <c r="D165" s="31" t="n"/>
      <c r="E165" s="29" t="n"/>
      <c r="F165" s="29" t="n"/>
      <c r="G165" s="29" t="n"/>
    </row>
    <row r="166">
      <c r="A166" s="29" t="n"/>
      <c r="B166" s="29" t="n"/>
      <c r="C166" s="29" t="n"/>
      <c r="D166" s="31" t="n"/>
      <c r="E166" s="29" t="n"/>
      <c r="F166" s="29" t="n"/>
      <c r="G166" s="29" t="n"/>
    </row>
    <row r="167">
      <c r="A167" s="29" t="n"/>
      <c r="B167" s="29" t="n"/>
      <c r="C167" s="29" t="n"/>
      <c r="D167" s="31" t="n"/>
      <c r="E167" s="29" t="n"/>
      <c r="F167" s="29" t="n"/>
      <c r="G167" s="29" t="n"/>
    </row>
    <row r="168">
      <c r="A168" s="29" t="n"/>
      <c r="B168" s="29" t="n"/>
      <c r="C168" s="29" t="n"/>
      <c r="D168" s="31" t="n"/>
      <c r="E168" s="29" t="n"/>
      <c r="F168" s="29" t="n"/>
      <c r="G168" s="29" t="n"/>
    </row>
    <row r="169">
      <c r="A169" s="29" t="n"/>
      <c r="B169" s="29" t="n"/>
      <c r="C169" s="29" t="n"/>
      <c r="D169" s="31" t="n"/>
      <c r="E169" s="29" t="n"/>
      <c r="F169" s="29" t="n"/>
      <c r="G169" s="29" t="n"/>
    </row>
    <row r="170">
      <c r="A170" s="29" t="n"/>
      <c r="B170" s="29" t="n"/>
      <c r="C170" s="29" t="n"/>
      <c r="D170" s="31" t="n"/>
      <c r="E170" s="29" t="n"/>
      <c r="F170" s="29" t="n"/>
      <c r="G170" s="29" t="n"/>
    </row>
    <row r="171">
      <c r="A171" s="29" t="n"/>
      <c r="B171" s="29" t="n"/>
      <c r="C171" s="29" t="n"/>
      <c r="D171" s="31" t="n"/>
      <c r="E171" s="29" t="n"/>
      <c r="F171" s="29" t="n"/>
      <c r="G171" s="29" t="n"/>
    </row>
    <row r="172">
      <c r="A172" s="29" t="n"/>
      <c r="B172" s="29" t="n"/>
      <c r="C172" s="29" t="n"/>
      <c r="D172" s="31" t="n"/>
      <c r="E172" s="29" t="n"/>
      <c r="F172" s="29" t="n"/>
      <c r="G172" s="29" t="n"/>
    </row>
    <row r="173">
      <c r="A173" s="29" t="n"/>
      <c r="B173" s="29" t="n"/>
      <c r="C173" s="29" t="n"/>
      <c r="D173" s="31" t="n"/>
      <c r="E173" s="29" t="n"/>
      <c r="F173" s="29" t="n"/>
      <c r="G173" s="29" t="n"/>
    </row>
    <row r="174">
      <c r="A174" s="29" t="n"/>
      <c r="B174" s="29" t="n"/>
      <c r="C174" s="29" t="n"/>
      <c r="D174" s="31" t="n"/>
      <c r="E174" s="29" t="n"/>
      <c r="F174" s="29" t="n"/>
      <c r="G174" s="29" t="n"/>
    </row>
    <row r="175">
      <c r="A175" s="29" t="n"/>
      <c r="B175" s="29" t="n"/>
      <c r="C175" s="29" t="n"/>
      <c r="D175" s="31" t="n"/>
      <c r="E175" s="29" t="n"/>
      <c r="F175" s="29" t="n"/>
      <c r="G175" s="29" t="n"/>
    </row>
    <row r="176">
      <c r="A176" s="29" t="n"/>
      <c r="B176" s="29" t="n"/>
      <c r="C176" s="29" t="n"/>
      <c r="D176" s="31" t="n"/>
      <c r="E176" s="29" t="n"/>
      <c r="F176" s="29" t="n"/>
      <c r="G176" s="29" t="n"/>
    </row>
    <row r="177">
      <c r="A177" s="29" t="n"/>
      <c r="B177" s="29" t="n"/>
      <c r="C177" s="29" t="n"/>
      <c r="D177" s="31" t="n"/>
      <c r="E177" s="29" t="n"/>
      <c r="F177" s="29" t="n"/>
      <c r="G177" s="29" t="n"/>
    </row>
    <row r="178">
      <c r="A178" s="29" t="n"/>
      <c r="B178" s="29" t="n"/>
      <c r="C178" s="29" t="n"/>
      <c r="D178" s="31" t="n"/>
      <c r="E178" s="29" t="n"/>
      <c r="F178" s="29" t="n"/>
      <c r="G178" s="29" t="n"/>
    </row>
    <row r="179">
      <c r="A179" s="29" t="n"/>
      <c r="B179" s="29" t="n"/>
      <c r="C179" s="29" t="n"/>
      <c r="D179" s="31" t="n"/>
      <c r="E179" s="29" t="n"/>
      <c r="F179" s="29" t="n"/>
      <c r="G179" s="29" t="n"/>
    </row>
    <row r="180">
      <c r="A180" s="29" t="n"/>
      <c r="B180" s="29" t="n"/>
      <c r="C180" s="29" t="n"/>
      <c r="D180" s="31" t="n"/>
      <c r="E180" s="29" t="n"/>
      <c r="F180" s="29" t="n"/>
      <c r="G180" s="29" t="n"/>
    </row>
    <row r="181">
      <c r="A181" s="29" t="n"/>
      <c r="B181" s="29" t="n"/>
      <c r="C181" s="29" t="n"/>
      <c r="D181" s="31" t="n"/>
      <c r="E181" s="29" t="n"/>
      <c r="F181" s="29" t="n"/>
      <c r="G181" s="29" t="n"/>
    </row>
    <row r="182">
      <c r="A182" s="29" t="n"/>
      <c r="B182" s="29" t="n"/>
      <c r="C182" s="29" t="n"/>
      <c r="D182" s="31" t="n"/>
      <c r="E182" s="29" t="n"/>
      <c r="F182" s="29" t="n"/>
      <c r="G182" s="29" t="n"/>
    </row>
    <row r="183">
      <c r="A183" s="29" t="n"/>
      <c r="B183" s="29" t="n"/>
      <c r="C183" s="29" t="n"/>
      <c r="D183" s="31" t="n"/>
      <c r="E183" s="29" t="n"/>
      <c r="F183" s="29" t="n"/>
      <c r="G183" s="29" t="n"/>
    </row>
    <row r="184">
      <c r="A184" s="29" t="n"/>
      <c r="B184" s="29" t="n"/>
      <c r="C184" s="29" t="n"/>
      <c r="D184" s="31" t="n"/>
      <c r="E184" s="29" t="n"/>
      <c r="F184" s="29" t="n"/>
      <c r="G184" s="29" t="n"/>
    </row>
    <row r="185">
      <c r="A185" s="29" t="n"/>
      <c r="B185" s="29" t="n"/>
      <c r="C185" s="29" t="n"/>
      <c r="D185" s="31" t="n"/>
      <c r="E185" s="29" t="n"/>
      <c r="F185" s="29" t="n"/>
      <c r="G185" s="29" t="n"/>
    </row>
    <row r="186">
      <c r="A186" s="29" t="n"/>
      <c r="B186" s="29" t="n"/>
      <c r="C186" s="29" t="n"/>
      <c r="D186" s="31" t="n"/>
      <c r="E186" s="29" t="n"/>
      <c r="F186" s="29" t="n"/>
      <c r="G186" s="29" t="n"/>
    </row>
    <row r="187">
      <c r="A187" s="29" t="n"/>
      <c r="B187" s="29" t="n"/>
      <c r="C187" s="29" t="n"/>
      <c r="D187" s="31" t="n"/>
      <c r="E187" s="29" t="n"/>
      <c r="F187" s="29" t="n"/>
      <c r="G187" s="29" t="n"/>
    </row>
    <row r="188">
      <c r="A188" s="29" t="n"/>
      <c r="B188" s="29" t="n"/>
      <c r="C188" s="29" t="n"/>
      <c r="D188" s="31" t="n"/>
      <c r="E188" s="29" t="n"/>
      <c r="F188" s="29" t="n"/>
      <c r="G188" s="29" t="n"/>
    </row>
    <row r="189">
      <c r="A189" s="29" t="n"/>
      <c r="B189" s="29" t="n"/>
      <c r="C189" s="29" t="n"/>
      <c r="D189" s="31" t="n"/>
      <c r="E189" s="29" t="n"/>
      <c r="F189" s="29" t="n"/>
      <c r="G189" s="29" t="n"/>
    </row>
    <row r="190">
      <c r="A190" s="29" t="n"/>
      <c r="B190" s="29" t="n"/>
      <c r="C190" s="29" t="n"/>
      <c r="D190" s="31" t="n"/>
      <c r="E190" s="29" t="n"/>
      <c r="F190" s="29" t="n"/>
      <c r="G190" s="29" t="n"/>
    </row>
    <row r="191">
      <c r="A191" s="29" t="n"/>
      <c r="B191" s="29" t="n"/>
      <c r="C191" s="29" t="n"/>
      <c r="D191" s="31" t="n"/>
      <c r="E191" s="29" t="n"/>
      <c r="F191" s="29" t="n"/>
      <c r="G191" s="29" t="n"/>
    </row>
    <row r="192">
      <c r="A192" s="29" t="n"/>
      <c r="B192" s="29" t="n"/>
      <c r="C192" s="29" t="n"/>
      <c r="D192" s="31" t="n"/>
      <c r="E192" s="29" t="n"/>
      <c r="F192" s="29" t="n"/>
      <c r="G192" s="29" t="n"/>
    </row>
    <row r="193">
      <c r="A193" s="29" t="n"/>
      <c r="B193" s="29" t="n"/>
      <c r="C193" s="29" t="n"/>
      <c r="D193" s="31" t="n"/>
      <c r="E193" s="29" t="n"/>
      <c r="F193" s="29" t="n"/>
      <c r="G193" s="29" t="n"/>
    </row>
    <row r="194">
      <c r="A194" s="29" t="n"/>
      <c r="B194" s="29" t="n"/>
      <c r="C194" s="29" t="n"/>
      <c r="D194" s="31" t="n"/>
      <c r="E194" s="29" t="n"/>
      <c r="F194" s="29" t="n"/>
      <c r="G194" s="29" t="n"/>
    </row>
    <row r="195">
      <c r="A195" s="29" t="n"/>
      <c r="B195" s="29" t="n"/>
      <c r="C195" s="29" t="n"/>
      <c r="D195" s="31" t="n"/>
      <c r="E195" s="29" t="n"/>
      <c r="F195" s="29" t="n"/>
      <c r="G195" s="29" t="n"/>
    </row>
    <row r="196">
      <c r="A196" s="29" t="n"/>
      <c r="B196" s="29" t="n"/>
      <c r="C196" s="29" t="n"/>
      <c r="D196" s="31" t="n"/>
      <c r="E196" s="29" t="n"/>
      <c r="F196" s="29" t="n"/>
      <c r="G196" s="29" t="n"/>
    </row>
    <row r="197">
      <c r="A197" s="29" t="n"/>
      <c r="B197" s="29" t="n"/>
      <c r="C197" s="29" t="n"/>
      <c r="D197" s="31" t="n"/>
      <c r="E197" s="29" t="n"/>
      <c r="F197" s="29" t="n"/>
      <c r="G197" s="29" t="n"/>
    </row>
    <row r="198">
      <c r="A198" s="29" t="n"/>
      <c r="B198" s="29" t="n"/>
      <c r="C198" s="29" t="n"/>
      <c r="D198" s="31" t="n"/>
      <c r="E198" s="29" t="n"/>
      <c r="F198" s="29" t="n"/>
      <c r="G198" s="29" t="n"/>
    </row>
    <row r="199">
      <c r="A199" s="29" t="n"/>
      <c r="B199" s="29" t="n"/>
      <c r="C199" s="29" t="n"/>
      <c r="D199" s="31" t="n"/>
      <c r="E199" s="29" t="n"/>
      <c r="F199" s="29" t="n"/>
      <c r="G199" s="29" t="n"/>
    </row>
    <row r="200">
      <c r="A200" s="29" t="n"/>
      <c r="B200" s="29" t="n"/>
      <c r="C200" s="29" t="n"/>
      <c r="D200" s="31" t="n"/>
      <c r="E200" s="29" t="n"/>
      <c r="F200" s="29" t="n"/>
      <c r="G200" s="29" t="n"/>
    </row>
    <row r="201">
      <c r="A201" s="29" t="n"/>
      <c r="B201" s="29" t="n"/>
      <c r="C201" s="29" t="n"/>
      <c r="D201" s="31" t="n"/>
      <c r="E201" s="29" t="n"/>
      <c r="F201" s="29" t="n"/>
      <c r="G201" s="29" t="n"/>
    </row>
    <row r="202">
      <c r="A202" s="29" t="n"/>
      <c r="B202" s="29" t="n"/>
      <c r="C202" s="29" t="n"/>
      <c r="D202" s="31" t="n"/>
      <c r="E202" s="29" t="n"/>
      <c r="F202" s="29" t="n"/>
      <c r="G202" s="29" t="n"/>
    </row>
    <row r="203">
      <c r="A203" s="29" t="n"/>
      <c r="B203" s="29" t="n"/>
      <c r="C203" s="29" t="n"/>
      <c r="D203" s="31" t="n"/>
      <c r="E203" s="29" t="n"/>
      <c r="F203" s="29" t="n"/>
      <c r="G203" s="29" t="n"/>
    </row>
    <row r="204">
      <c r="A204" s="29" t="n"/>
      <c r="B204" s="29" t="n"/>
      <c r="C204" s="29" t="n"/>
      <c r="D204" s="31" t="n"/>
      <c r="E204" s="29" t="n"/>
      <c r="F204" s="29" t="n"/>
      <c r="G204" s="29" t="n"/>
    </row>
  </sheetData>
  <mergeCells count="2">
    <mergeCell ref="A2:G2"/>
    <mergeCell ref="A1:G1"/>
  </mergeCells>
  <dataValidations count="1">
    <dataValidation sqref="C5:C204" showDropDown="0" showInputMessage="0" showErrorMessage="0" allowBlank="1" error="Valeur non autorisée." prompt="Choisis une valeur dans la liste." type="list">
      <formula1>=Parametres!$G$5:$G$8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8" customWidth="1" min="4" max="4"/>
    <col width="26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Incidents / problèmes chantier</t>
        </is>
      </c>
    </row>
    <row r="2">
      <c r="A2" s="2" t="inlineStr">
        <is>
          <t>Tout incident doit être enregistré pour éviter les transmissions orales incomplètes.</t>
        </is>
      </c>
    </row>
    <row r="4" ht="22" customHeight="1">
      <c r="A4" s="28" t="inlineStr">
        <is>
          <t>Date</t>
        </is>
      </c>
      <c r="B4" s="28" t="inlineStr">
        <is>
          <t>Type incident</t>
        </is>
      </c>
      <c r="C4" s="28" t="inlineStr">
        <is>
          <t>Description</t>
        </is>
      </c>
      <c r="D4" s="28" t="inlineStr">
        <is>
          <t>Impact</t>
        </is>
      </c>
      <c r="E4" s="28" t="inlineStr">
        <is>
          <t>Solution apportée</t>
        </is>
      </c>
      <c r="F4" s="28" t="inlineStr">
        <is>
          <t>Responsable</t>
        </is>
      </c>
      <c r="G4" s="28" t="inlineStr">
        <is>
          <t>Date clôture</t>
        </is>
      </c>
      <c r="H4" s="28" t="inlineStr">
        <is>
          <t>Statut</t>
        </is>
      </c>
    </row>
    <row r="5">
      <c r="A5" s="31" t="n">
        <v>46062</v>
      </c>
      <c r="B5" s="29" t="inlineStr">
        <is>
          <t>Retard</t>
        </is>
      </c>
      <c r="C5" s="29" t="inlineStr">
        <is>
          <t>Retard de livraison d'une partie du fer HA12</t>
        </is>
      </c>
      <c r="D5" s="29" t="inlineStr">
        <is>
          <t>Décalage de 1 jour sur ferraillage</t>
        </is>
      </c>
      <c r="E5" s="29" t="inlineStr">
        <is>
          <t>Réajustement planning + relance fournisseur</t>
        </is>
      </c>
      <c r="F5" s="29" t="inlineStr">
        <is>
          <t>Conducteur travaux</t>
        </is>
      </c>
      <c r="G5" s="31" t="n">
        <v>46063</v>
      </c>
      <c r="H5" s="29" t="inlineStr">
        <is>
          <t>Clôturé</t>
        </is>
      </c>
    </row>
    <row r="6">
      <c r="A6" s="31" t="n">
        <v>46087</v>
      </c>
      <c r="B6" s="29" t="inlineStr">
        <is>
          <t>Rupture stock</t>
        </is>
      </c>
      <c r="C6" s="29" t="inlineStr">
        <is>
          <t>Bois de coffrage insuffisant pour zone escalier</t>
        </is>
      </c>
      <c r="D6" s="29" t="inlineStr">
        <is>
          <t>Ralentissement coffrage</t>
        </is>
      </c>
      <c r="E6" s="29" t="inlineStr">
        <is>
          <t>Commande complémentaire immédiate</t>
        </is>
      </c>
      <c r="F6" s="29" t="inlineStr">
        <is>
          <t>Chef de chantier</t>
        </is>
      </c>
      <c r="G6" s="31" t="n">
        <v>46088</v>
      </c>
      <c r="H6" s="29" t="inlineStr">
        <is>
          <t>Clôturé</t>
        </is>
      </c>
    </row>
    <row r="7">
      <c r="A7" s="31" t="n">
        <v>46092</v>
      </c>
      <c r="B7" s="29" t="inlineStr">
        <is>
          <t>Panne</t>
        </is>
      </c>
      <c r="C7" s="29" t="inlineStr">
        <is>
          <t>Brouette n°3 hors service</t>
        </is>
      </c>
      <c r="D7" s="29" t="inlineStr">
        <is>
          <t>Manutention ralentie</t>
        </is>
      </c>
      <c r="E7" s="29" t="inlineStr">
        <is>
          <t>Réparation roue</t>
        </is>
      </c>
      <c r="F7" s="29" t="inlineStr">
        <is>
          <t>Magasinier</t>
        </is>
      </c>
      <c r="G7" s="31" t="n">
        <v>46093</v>
      </c>
      <c r="H7" s="29" t="inlineStr">
        <is>
          <t>Clôturé</t>
        </is>
      </c>
    </row>
    <row r="8">
      <c r="A8" s="31" t="n"/>
      <c r="B8" s="29" t="n"/>
      <c r="C8" s="29" t="n"/>
      <c r="D8" s="29" t="n"/>
      <c r="E8" s="29" t="n"/>
      <c r="F8" s="29" t="n"/>
      <c r="G8" s="31" t="n"/>
      <c r="H8" s="29" t="n"/>
    </row>
    <row r="9">
      <c r="A9" s="31" t="n"/>
      <c r="B9" s="29" t="n"/>
      <c r="C9" s="29" t="n"/>
      <c r="D9" s="29" t="n"/>
      <c r="E9" s="29" t="n"/>
      <c r="F9" s="29" t="n"/>
      <c r="G9" s="31" t="n"/>
      <c r="H9" s="29" t="n"/>
    </row>
    <row r="10">
      <c r="A10" s="31" t="n"/>
      <c r="B10" s="29" t="n"/>
      <c r="C10" s="29" t="n"/>
      <c r="D10" s="29" t="n"/>
      <c r="E10" s="29" t="n"/>
      <c r="F10" s="29" t="n"/>
      <c r="G10" s="31" t="n"/>
      <c r="H10" s="29" t="n"/>
    </row>
    <row r="11">
      <c r="A11" s="31" t="n"/>
      <c r="B11" s="29" t="n"/>
      <c r="C11" s="29" t="n"/>
      <c r="D11" s="29" t="n"/>
      <c r="E11" s="29" t="n"/>
      <c r="F11" s="29" t="n"/>
      <c r="G11" s="31" t="n"/>
      <c r="H11" s="29" t="n"/>
    </row>
    <row r="12">
      <c r="A12" s="31" t="n"/>
      <c r="B12" s="29" t="n"/>
      <c r="C12" s="29" t="n"/>
      <c r="D12" s="29" t="n"/>
      <c r="E12" s="29" t="n"/>
      <c r="F12" s="29" t="n"/>
      <c r="G12" s="31" t="n"/>
      <c r="H12" s="29" t="n"/>
    </row>
    <row r="13">
      <c r="A13" s="31" t="n"/>
      <c r="B13" s="29" t="n"/>
      <c r="C13" s="29" t="n"/>
      <c r="D13" s="29" t="n"/>
      <c r="E13" s="29" t="n"/>
      <c r="F13" s="29" t="n"/>
      <c r="G13" s="31" t="n"/>
      <c r="H13" s="29" t="n"/>
    </row>
    <row r="14">
      <c r="A14" s="31" t="n"/>
      <c r="B14" s="29" t="n"/>
      <c r="C14" s="29" t="n"/>
      <c r="D14" s="29" t="n"/>
      <c r="E14" s="29" t="n"/>
      <c r="F14" s="29" t="n"/>
      <c r="G14" s="31" t="n"/>
      <c r="H14" s="29" t="n"/>
    </row>
    <row r="15">
      <c r="A15" s="31" t="n"/>
      <c r="B15" s="29" t="n"/>
      <c r="C15" s="29" t="n"/>
      <c r="D15" s="29" t="n"/>
      <c r="E15" s="29" t="n"/>
      <c r="F15" s="29" t="n"/>
      <c r="G15" s="31" t="n"/>
      <c r="H15" s="29" t="n"/>
    </row>
    <row r="16">
      <c r="A16" s="31" t="n"/>
      <c r="B16" s="29" t="n"/>
      <c r="C16" s="29" t="n"/>
      <c r="D16" s="29" t="n"/>
      <c r="E16" s="29" t="n"/>
      <c r="F16" s="29" t="n"/>
      <c r="G16" s="31" t="n"/>
      <c r="H16" s="29" t="n"/>
    </row>
    <row r="17">
      <c r="A17" s="31" t="n"/>
      <c r="B17" s="29" t="n"/>
      <c r="C17" s="29" t="n"/>
      <c r="D17" s="29" t="n"/>
      <c r="E17" s="29" t="n"/>
      <c r="F17" s="29" t="n"/>
      <c r="G17" s="31" t="n"/>
      <c r="H17" s="29" t="n"/>
    </row>
    <row r="18">
      <c r="A18" s="31" t="n"/>
      <c r="B18" s="29" t="n"/>
      <c r="C18" s="29" t="n"/>
      <c r="D18" s="29" t="n"/>
      <c r="E18" s="29" t="n"/>
      <c r="F18" s="29" t="n"/>
      <c r="G18" s="31" t="n"/>
      <c r="H18" s="29" t="n"/>
    </row>
    <row r="19">
      <c r="A19" s="31" t="n"/>
      <c r="B19" s="29" t="n"/>
      <c r="C19" s="29" t="n"/>
      <c r="D19" s="29" t="n"/>
      <c r="E19" s="29" t="n"/>
      <c r="F19" s="29" t="n"/>
      <c r="G19" s="31" t="n"/>
      <c r="H19" s="29" t="n"/>
    </row>
    <row r="20">
      <c r="A20" s="31" t="n"/>
      <c r="B20" s="29" t="n"/>
      <c r="C20" s="29" t="n"/>
      <c r="D20" s="29" t="n"/>
      <c r="E20" s="29" t="n"/>
      <c r="F20" s="29" t="n"/>
      <c r="G20" s="31" t="n"/>
      <c r="H20" s="29" t="n"/>
    </row>
    <row r="21">
      <c r="A21" s="31" t="n"/>
      <c r="B21" s="29" t="n"/>
      <c r="C21" s="29" t="n"/>
      <c r="D21" s="29" t="n"/>
      <c r="E21" s="29" t="n"/>
      <c r="F21" s="29" t="n"/>
      <c r="G21" s="31" t="n"/>
      <c r="H21" s="29" t="n"/>
    </row>
    <row r="22">
      <c r="A22" s="31" t="n"/>
      <c r="B22" s="29" t="n"/>
      <c r="C22" s="29" t="n"/>
      <c r="D22" s="29" t="n"/>
      <c r="E22" s="29" t="n"/>
      <c r="F22" s="29" t="n"/>
      <c r="G22" s="31" t="n"/>
      <c r="H22" s="29" t="n"/>
    </row>
    <row r="23">
      <c r="A23" s="31" t="n"/>
      <c r="B23" s="29" t="n"/>
      <c r="C23" s="29" t="n"/>
      <c r="D23" s="29" t="n"/>
      <c r="E23" s="29" t="n"/>
      <c r="F23" s="29" t="n"/>
      <c r="G23" s="31" t="n"/>
      <c r="H23" s="29" t="n"/>
    </row>
    <row r="24">
      <c r="A24" s="31" t="n"/>
      <c r="B24" s="29" t="n"/>
      <c r="C24" s="29" t="n"/>
      <c r="D24" s="29" t="n"/>
      <c r="E24" s="29" t="n"/>
      <c r="F24" s="29" t="n"/>
      <c r="G24" s="31" t="n"/>
      <c r="H24" s="29" t="n"/>
    </row>
    <row r="25">
      <c r="A25" s="31" t="n"/>
      <c r="B25" s="29" t="n"/>
      <c r="C25" s="29" t="n"/>
      <c r="D25" s="29" t="n"/>
      <c r="E25" s="29" t="n"/>
      <c r="F25" s="29" t="n"/>
      <c r="G25" s="31" t="n"/>
      <c r="H25" s="29" t="n"/>
    </row>
    <row r="26">
      <c r="A26" s="31" t="n"/>
      <c r="B26" s="29" t="n"/>
      <c r="C26" s="29" t="n"/>
      <c r="D26" s="29" t="n"/>
      <c r="E26" s="29" t="n"/>
      <c r="F26" s="29" t="n"/>
      <c r="G26" s="31" t="n"/>
      <c r="H26" s="29" t="n"/>
    </row>
    <row r="27">
      <c r="A27" s="31" t="n"/>
      <c r="B27" s="29" t="n"/>
      <c r="C27" s="29" t="n"/>
      <c r="D27" s="29" t="n"/>
      <c r="E27" s="29" t="n"/>
      <c r="F27" s="29" t="n"/>
      <c r="G27" s="31" t="n"/>
      <c r="H27" s="29" t="n"/>
    </row>
    <row r="28">
      <c r="A28" s="31" t="n"/>
      <c r="B28" s="29" t="n"/>
      <c r="C28" s="29" t="n"/>
      <c r="D28" s="29" t="n"/>
      <c r="E28" s="29" t="n"/>
      <c r="F28" s="29" t="n"/>
      <c r="G28" s="31" t="n"/>
      <c r="H28" s="29" t="n"/>
    </row>
    <row r="29">
      <c r="A29" s="31" t="n"/>
      <c r="B29" s="29" t="n"/>
      <c r="C29" s="29" t="n"/>
      <c r="D29" s="29" t="n"/>
      <c r="E29" s="29" t="n"/>
      <c r="F29" s="29" t="n"/>
      <c r="G29" s="31" t="n"/>
      <c r="H29" s="29" t="n"/>
    </row>
    <row r="30">
      <c r="A30" s="31" t="n"/>
      <c r="B30" s="29" t="n"/>
      <c r="C30" s="29" t="n"/>
      <c r="D30" s="29" t="n"/>
      <c r="E30" s="29" t="n"/>
      <c r="F30" s="29" t="n"/>
      <c r="G30" s="31" t="n"/>
      <c r="H30" s="29" t="n"/>
    </row>
    <row r="31">
      <c r="A31" s="31" t="n"/>
      <c r="B31" s="29" t="n"/>
      <c r="C31" s="29" t="n"/>
      <c r="D31" s="29" t="n"/>
      <c r="E31" s="29" t="n"/>
      <c r="F31" s="29" t="n"/>
      <c r="G31" s="31" t="n"/>
      <c r="H31" s="29" t="n"/>
    </row>
    <row r="32">
      <c r="A32" s="31" t="n"/>
      <c r="B32" s="29" t="n"/>
      <c r="C32" s="29" t="n"/>
      <c r="D32" s="29" t="n"/>
      <c r="E32" s="29" t="n"/>
      <c r="F32" s="29" t="n"/>
      <c r="G32" s="31" t="n"/>
      <c r="H32" s="29" t="n"/>
    </row>
    <row r="33">
      <c r="A33" s="31" t="n"/>
      <c r="B33" s="29" t="n"/>
      <c r="C33" s="29" t="n"/>
      <c r="D33" s="29" t="n"/>
      <c r="E33" s="29" t="n"/>
      <c r="F33" s="29" t="n"/>
      <c r="G33" s="31" t="n"/>
      <c r="H33" s="29" t="n"/>
    </row>
    <row r="34">
      <c r="A34" s="31" t="n"/>
      <c r="B34" s="29" t="n"/>
      <c r="C34" s="29" t="n"/>
      <c r="D34" s="29" t="n"/>
      <c r="E34" s="29" t="n"/>
      <c r="F34" s="29" t="n"/>
      <c r="G34" s="31" t="n"/>
      <c r="H34" s="29" t="n"/>
    </row>
    <row r="35">
      <c r="A35" s="31" t="n"/>
      <c r="B35" s="29" t="n"/>
      <c r="C35" s="29" t="n"/>
      <c r="D35" s="29" t="n"/>
      <c r="E35" s="29" t="n"/>
      <c r="F35" s="29" t="n"/>
      <c r="G35" s="31" t="n"/>
      <c r="H35" s="29" t="n"/>
    </row>
    <row r="36">
      <c r="A36" s="31" t="n"/>
      <c r="B36" s="29" t="n"/>
      <c r="C36" s="29" t="n"/>
      <c r="D36" s="29" t="n"/>
      <c r="E36" s="29" t="n"/>
      <c r="F36" s="29" t="n"/>
      <c r="G36" s="31" t="n"/>
      <c r="H36" s="29" t="n"/>
    </row>
    <row r="37">
      <c r="A37" s="31" t="n"/>
      <c r="B37" s="29" t="n"/>
      <c r="C37" s="29" t="n"/>
      <c r="D37" s="29" t="n"/>
      <c r="E37" s="29" t="n"/>
      <c r="F37" s="29" t="n"/>
      <c r="G37" s="31" t="n"/>
      <c r="H37" s="29" t="n"/>
    </row>
    <row r="38">
      <c r="A38" s="31" t="n"/>
      <c r="B38" s="29" t="n"/>
      <c r="C38" s="29" t="n"/>
      <c r="D38" s="29" t="n"/>
      <c r="E38" s="29" t="n"/>
      <c r="F38" s="29" t="n"/>
      <c r="G38" s="31" t="n"/>
      <c r="H38" s="29" t="n"/>
    </row>
    <row r="39">
      <c r="A39" s="31" t="n"/>
      <c r="B39" s="29" t="n"/>
      <c r="C39" s="29" t="n"/>
      <c r="D39" s="29" t="n"/>
      <c r="E39" s="29" t="n"/>
      <c r="F39" s="29" t="n"/>
      <c r="G39" s="31" t="n"/>
      <c r="H39" s="29" t="n"/>
    </row>
    <row r="40">
      <c r="A40" s="31" t="n"/>
      <c r="B40" s="29" t="n"/>
      <c r="C40" s="29" t="n"/>
      <c r="D40" s="29" t="n"/>
      <c r="E40" s="29" t="n"/>
      <c r="F40" s="29" t="n"/>
      <c r="G40" s="31" t="n"/>
      <c r="H40" s="29" t="n"/>
    </row>
    <row r="41">
      <c r="A41" s="31" t="n"/>
      <c r="B41" s="29" t="n"/>
      <c r="C41" s="29" t="n"/>
      <c r="D41" s="29" t="n"/>
      <c r="E41" s="29" t="n"/>
      <c r="F41" s="29" t="n"/>
      <c r="G41" s="31" t="n"/>
      <c r="H41" s="29" t="n"/>
    </row>
    <row r="42">
      <c r="A42" s="31" t="n"/>
      <c r="B42" s="29" t="n"/>
      <c r="C42" s="29" t="n"/>
      <c r="D42" s="29" t="n"/>
      <c r="E42" s="29" t="n"/>
      <c r="F42" s="29" t="n"/>
      <c r="G42" s="31" t="n"/>
      <c r="H42" s="29" t="n"/>
    </row>
    <row r="43">
      <c r="A43" s="31" t="n"/>
      <c r="B43" s="29" t="n"/>
      <c r="C43" s="29" t="n"/>
      <c r="D43" s="29" t="n"/>
      <c r="E43" s="29" t="n"/>
      <c r="F43" s="29" t="n"/>
      <c r="G43" s="31" t="n"/>
      <c r="H43" s="29" t="n"/>
    </row>
    <row r="44">
      <c r="A44" s="31" t="n"/>
      <c r="B44" s="29" t="n"/>
      <c r="C44" s="29" t="n"/>
      <c r="D44" s="29" t="n"/>
      <c r="E44" s="29" t="n"/>
      <c r="F44" s="29" t="n"/>
      <c r="G44" s="31" t="n"/>
      <c r="H44" s="29" t="n"/>
    </row>
    <row r="45">
      <c r="A45" s="31" t="n"/>
      <c r="B45" s="29" t="n"/>
      <c r="C45" s="29" t="n"/>
      <c r="D45" s="29" t="n"/>
      <c r="E45" s="29" t="n"/>
      <c r="F45" s="29" t="n"/>
      <c r="G45" s="31" t="n"/>
      <c r="H45" s="29" t="n"/>
    </row>
    <row r="46">
      <c r="A46" s="31" t="n"/>
      <c r="B46" s="29" t="n"/>
      <c r="C46" s="29" t="n"/>
      <c r="D46" s="29" t="n"/>
      <c r="E46" s="29" t="n"/>
      <c r="F46" s="29" t="n"/>
      <c r="G46" s="31" t="n"/>
      <c r="H46" s="29" t="n"/>
    </row>
    <row r="47">
      <c r="A47" s="31" t="n"/>
      <c r="B47" s="29" t="n"/>
      <c r="C47" s="29" t="n"/>
      <c r="D47" s="29" t="n"/>
      <c r="E47" s="29" t="n"/>
      <c r="F47" s="29" t="n"/>
      <c r="G47" s="31" t="n"/>
      <c r="H47" s="29" t="n"/>
    </row>
    <row r="48">
      <c r="A48" s="31" t="n"/>
      <c r="B48" s="29" t="n"/>
      <c r="C48" s="29" t="n"/>
      <c r="D48" s="29" t="n"/>
      <c r="E48" s="29" t="n"/>
      <c r="F48" s="29" t="n"/>
      <c r="G48" s="31" t="n"/>
      <c r="H48" s="29" t="n"/>
    </row>
    <row r="49">
      <c r="A49" s="31" t="n"/>
      <c r="B49" s="29" t="n"/>
      <c r="C49" s="29" t="n"/>
      <c r="D49" s="29" t="n"/>
      <c r="E49" s="29" t="n"/>
      <c r="F49" s="29" t="n"/>
      <c r="G49" s="31" t="n"/>
      <c r="H49" s="29" t="n"/>
    </row>
    <row r="50">
      <c r="A50" s="31" t="n"/>
      <c r="B50" s="29" t="n"/>
      <c r="C50" s="29" t="n"/>
      <c r="D50" s="29" t="n"/>
      <c r="E50" s="29" t="n"/>
      <c r="F50" s="29" t="n"/>
      <c r="G50" s="31" t="n"/>
      <c r="H50" s="29" t="n"/>
    </row>
    <row r="51">
      <c r="A51" s="31" t="n"/>
      <c r="B51" s="29" t="n"/>
      <c r="C51" s="29" t="n"/>
      <c r="D51" s="29" t="n"/>
      <c r="E51" s="29" t="n"/>
      <c r="F51" s="29" t="n"/>
      <c r="G51" s="31" t="n"/>
      <c r="H51" s="29" t="n"/>
    </row>
    <row r="52">
      <c r="A52" s="31" t="n"/>
      <c r="B52" s="29" t="n"/>
      <c r="C52" s="29" t="n"/>
      <c r="D52" s="29" t="n"/>
      <c r="E52" s="29" t="n"/>
      <c r="F52" s="29" t="n"/>
      <c r="G52" s="31" t="n"/>
      <c r="H52" s="29" t="n"/>
    </row>
    <row r="53">
      <c r="A53" s="31" t="n"/>
      <c r="B53" s="29" t="n"/>
      <c r="C53" s="29" t="n"/>
      <c r="D53" s="29" t="n"/>
      <c r="E53" s="29" t="n"/>
      <c r="F53" s="29" t="n"/>
      <c r="G53" s="31" t="n"/>
      <c r="H53" s="29" t="n"/>
    </row>
    <row r="54">
      <c r="A54" s="31" t="n"/>
      <c r="B54" s="29" t="n"/>
      <c r="C54" s="29" t="n"/>
      <c r="D54" s="29" t="n"/>
      <c r="E54" s="29" t="n"/>
      <c r="F54" s="29" t="n"/>
      <c r="G54" s="31" t="n"/>
      <c r="H54" s="29" t="n"/>
    </row>
    <row r="55">
      <c r="A55" s="31" t="n"/>
      <c r="B55" s="29" t="n"/>
      <c r="C55" s="29" t="n"/>
      <c r="D55" s="29" t="n"/>
      <c r="E55" s="29" t="n"/>
      <c r="F55" s="29" t="n"/>
      <c r="G55" s="31" t="n"/>
      <c r="H55" s="29" t="n"/>
    </row>
    <row r="56">
      <c r="A56" s="31" t="n"/>
      <c r="B56" s="29" t="n"/>
      <c r="C56" s="29" t="n"/>
      <c r="D56" s="29" t="n"/>
      <c r="E56" s="29" t="n"/>
      <c r="F56" s="29" t="n"/>
      <c r="G56" s="31" t="n"/>
      <c r="H56" s="29" t="n"/>
    </row>
    <row r="57">
      <c r="A57" s="31" t="n"/>
      <c r="B57" s="29" t="n"/>
      <c r="C57" s="29" t="n"/>
      <c r="D57" s="29" t="n"/>
      <c r="E57" s="29" t="n"/>
      <c r="F57" s="29" t="n"/>
      <c r="G57" s="31" t="n"/>
      <c r="H57" s="29" t="n"/>
    </row>
    <row r="58">
      <c r="A58" s="31" t="n"/>
      <c r="B58" s="29" t="n"/>
      <c r="C58" s="29" t="n"/>
      <c r="D58" s="29" t="n"/>
      <c r="E58" s="29" t="n"/>
      <c r="F58" s="29" t="n"/>
      <c r="G58" s="31" t="n"/>
      <c r="H58" s="29" t="n"/>
    </row>
    <row r="59">
      <c r="A59" s="31" t="n"/>
      <c r="B59" s="29" t="n"/>
      <c r="C59" s="29" t="n"/>
      <c r="D59" s="29" t="n"/>
      <c r="E59" s="29" t="n"/>
      <c r="F59" s="29" t="n"/>
      <c r="G59" s="31" t="n"/>
      <c r="H59" s="29" t="n"/>
    </row>
    <row r="60">
      <c r="A60" s="31" t="n"/>
      <c r="B60" s="29" t="n"/>
      <c r="C60" s="29" t="n"/>
      <c r="D60" s="29" t="n"/>
      <c r="E60" s="29" t="n"/>
      <c r="F60" s="29" t="n"/>
      <c r="G60" s="31" t="n"/>
      <c r="H60" s="29" t="n"/>
    </row>
    <row r="61">
      <c r="A61" s="31" t="n"/>
      <c r="B61" s="29" t="n"/>
      <c r="C61" s="29" t="n"/>
      <c r="D61" s="29" t="n"/>
      <c r="E61" s="29" t="n"/>
      <c r="F61" s="29" t="n"/>
      <c r="G61" s="31" t="n"/>
      <c r="H61" s="29" t="n"/>
    </row>
    <row r="62">
      <c r="A62" s="31" t="n"/>
      <c r="B62" s="29" t="n"/>
      <c r="C62" s="29" t="n"/>
      <c r="D62" s="29" t="n"/>
      <c r="E62" s="29" t="n"/>
      <c r="F62" s="29" t="n"/>
      <c r="G62" s="31" t="n"/>
      <c r="H62" s="29" t="n"/>
    </row>
    <row r="63">
      <c r="A63" s="31" t="n"/>
      <c r="B63" s="29" t="n"/>
      <c r="C63" s="29" t="n"/>
      <c r="D63" s="29" t="n"/>
      <c r="E63" s="29" t="n"/>
      <c r="F63" s="29" t="n"/>
      <c r="G63" s="31" t="n"/>
      <c r="H63" s="29" t="n"/>
    </row>
    <row r="64">
      <c r="A64" s="31" t="n"/>
      <c r="B64" s="29" t="n"/>
      <c r="C64" s="29" t="n"/>
      <c r="D64" s="29" t="n"/>
      <c r="E64" s="29" t="n"/>
      <c r="F64" s="29" t="n"/>
      <c r="G64" s="31" t="n"/>
      <c r="H64" s="29" t="n"/>
    </row>
    <row r="65">
      <c r="A65" s="31" t="n"/>
      <c r="B65" s="29" t="n"/>
      <c r="C65" s="29" t="n"/>
      <c r="D65" s="29" t="n"/>
      <c r="E65" s="29" t="n"/>
      <c r="F65" s="29" t="n"/>
      <c r="G65" s="31" t="n"/>
      <c r="H65" s="29" t="n"/>
    </row>
    <row r="66">
      <c r="A66" s="31" t="n"/>
      <c r="B66" s="29" t="n"/>
      <c r="C66" s="29" t="n"/>
      <c r="D66" s="29" t="n"/>
      <c r="E66" s="29" t="n"/>
      <c r="F66" s="29" t="n"/>
      <c r="G66" s="31" t="n"/>
      <c r="H66" s="29" t="n"/>
    </row>
    <row r="67">
      <c r="A67" s="31" t="n"/>
      <c r="B67" s="29" t="n"/>
      <c r="C67" s="29" t="n"/>
      <c r="D67" s="29" t="n"/>
      <c r="E67" s="29" t="n"/>
      <c r="F67" s="29" t="n"/>
      <c r="G67" s="31" t="n"/>
      <c r="H67" s="29" t="n"/>
    </row>
    <row r="68">
      <c r="A68" s="31" t="n"/>
      <c r="B68" s="29" t="n"/>
      <c r="C68" s="29" t="n"/>
      <c r="D68" s="29" t="n"/>
      <c r="E68" s="29" t="n"/>
      <c r="F68" s="29" t="n"/>
      <c r="G68" s="31" t="n"/>
      <c r="H68" s="29" t="n"/>
    </row>
    <row r="69">
      <c r="A69" s="31" t="n"/>
      <c r="B69" s="29" t="n"/>
      <c r="C69" s="29" t="n"/>
      <c r="D69" s="29" t="n"/>
      <c r="E69" s="29" t="n"/>
      <c r="F69" s="29" t="n"/>
      <c r="G69" s="31" t="n"/>
      <c r="H69" s="29" t="n"/>
    </row>
    <row r="70">
      <c r="A70" s="31" t="n"/>
      <c r="B70" s="29" t="n"/>
      <c r="C70" s="29" t="n"/>
      <c r="D70" s="29" t="n"/>
      <c r="E70" s="29" t="n"/>
      <c r="F70" s="29" t="n"/>
      <c r="G70" s="31" t="n"/>
      <c r="H70" s="29" t="n"/>
    </row>
    <row r="71">
      <c r="A71" s="31" t="n"/>
      <c r="B71" s="29" t="n"/>
      <c r="C71" s="29" t="n"/>
      <c r="D71" s="29" t="n"/>
      <c r="E71" s="29" t="n"/>
      <c r="F71" s="29" t="n"/>
      <c r="G71" s="31" t="n"/>
      <c r="H71" s="29" t="n"/>
    </row>
    <row r="72">
      <c r="A72" s="31" t="n"/>
      <c r="B72" s="29" t="n"/>
      <c r="C72" s="29" t="n"/>
      <c r="D72" s="29" t="n"/>
      <c r="E72" s="29" t="n"/>
      <c r="F72" s="29" t="n"/>
      <c r="G72" s="31" t="n"/>
      <c r="H72" s="29" t="n"/>
    </row>
    <row r="73">
      <c r="A73" s="31" t="n"/>
      <c r="B73" s="29" t="n"/>
      <c r="C73" s="29" t="n"/>
      <c r="D73" s="29" t="n"/>
      <c r="E73" s="29" t="n"/>
      <c r="F73" s="29" t="n"/>
      <c r="G73" s="31" t="n"/>
      <c r="H73" s="29" t="n"/>
    </row>
    <row r="74">
      <c r="A74" s="31" t="n"/>
      <c r="B74" s="29" t="n"/>
      <c r="C74" s="29" t="n"/>
      <c r="D74" s="29" t="n"/>
      <c r="E74" s="29" t="n"/>
      <c r="F74" s="29" t="n"/>
      <c r="G74" s="31" t="n"/>
      <c r="H74" s="29" t="n"/>
    </row>
    <row r="75">
      <c r="A75" s="31" t="n"/>
      <c r="B75" s="29" t="n"/>
      <c r="C75" s="29" t="n"/>
      <c r="D75" s="29" t="n"/>
      <c r="E75" s="29" t="n"/>
      <c r="F75" s="29" t="n"/>
      <c r="G75" s="31" t="n"/>
      <c r="H75" s="29" t="n"/>
    </row>
    <row r="76">
      <c r="A76" s="31" t="n"/>
      <c r="B76" s="29" t="n"/>
      <c r="C76" s="29" t="n"/>
      <c r="D76" s="29" t="n"/>
      <c r="E76" s="29" t="n"/>
      <c r="F76" s="29" t="n"/>
      <c r="G76" s="31" t="n"/>
      <c r="H76" s="29" t="n"/>
    </row>
    <row r="77">
      <c r="A77" s="31" t="n"/>
      <c r="B77" s="29" t="n"/>
      <c r="C77" s="29" t="n"/>
      <c r="D77" s="29" t="n"/>
      <c r="E77" s="29" t="n"/>
      <c r="F77" s="29" t="n"/>
      <c r="G77" s="31" t="n"/>
      <c r="H77" s="29" t="n"/>
    </row>
    <row r="78">
      <c r="A78" s="31" t="n"/>
      <c r="B78" s="29" t="n"/>
      <c r="C78" s="29" t="n"/>
      <c r="D78" s="29" t="n"/>
      <c r="E78" s="29" t="n"/>
      <c r="F78" s="29" t="n"/>
      <c r="G78" s="31" t="n"/>
      <c r="H78" s="29" t="n"/>
    </row>
    <row r="79">
      <c r="A79" s="31" t="n"/>
      <c r="B79" s="29" t="n"/>
      <c r="C79" s="29" t="n"/>
      <c r="D79" s="29" t="n"/>
      <c r="E79" s="29" t="n"/>
      <c r="F79" s="29" t="n"/>
      <c r="G79" s="31" t="n"/>
      <c r="H79" s="29" t="n"/>
    </row>
    <row r="80">
      <c r="A80" s="31" t="n"/>
      <c r="B80" s="29" t="n"/>
      <c r="C80" s="29" t="n"/>
      <c r="D80" s="29" t="n"/>
      <c r="E80" s="29" t="n"/>
      <c r="F80" s="29" t="n"/>
      <c r="G80" s="31" t="n"/>
      <c r="H80" s="29" t="n"/>
    </row>
    <row r="81">
      <c r="A81" s="31" t="n"/>
      <c r="B81" s="29" t="n"/>
      <c r="C81" s="29" t="n"/>
      <c r="D81" s="29" t="n"/>
      <c r="E81" s="29" t="n"/>
      <c r="F81" s="29" t="n"/>
      <c r="G81" s="31" t="n"/>
      <c r="H81" s="29" t="n"/>
    </row>
    <row r="82">
      <c r="A82" s="31" t="n"/>
      <c r="B82" s="29" t="n"/>
      <c r="C82" s="29" t="n"/>
      <c r="D82" s="29" t="n"/>
      <c r="E82" s="29" t="n"/>
      <c r="F82" s="29" t="n"/>
      <c r="G82" s="31" t="n"/>
      <c r="H82" s="29" t="n"/>
    </row>
    <row r="83">
      <c r="A83" s="31" t="n"/>
      <c r="B83" s="29" t="n"/>
      <c r="C83" s="29" t="n"/>
      <c r="D83" s="29" t="n"/>
      <c r="E83" s="29" t="n"/>
      <c r="F83" s="29" t="n"/>
      <c r="G83" s="31" t="n"/>
      <c r="H83" s="29" t="n"/>
    </row>
    <row r="84">
      <c r="A84" s="31" t="n"/>
      <c r="B84" s="29" t="n"/>
      <c r="C84" s="29" t="n"/>
      <c r="D84" s="29" t="n"/>
      <c r="E84" s="29" t="n"/>
      <c r="F84" s="29" t="n"/>
      <c r="G84" s="31" t="n"/>
      <c r="H84" s="29" t="n"/>
    </row>
    <row r="85">
      <c r="A85" s="31" t="n"/>
      <c r="B85" s="29" t="n"/>
      <c r="C85" s="29" t="n"/>
      <c r="D85" s="29" t="n"/>
      <c r="E85" s="29" t="n"/>
      <c r="F85" s="29" t="n"/>
      <c r="G85" s="31" t="n"/>
      <c r="H85" s="29" t="n"/>
    </row>
    <row r="86">
      <c r="A86" s="31" t="n"/>
      <c r="B86" s="29" t="n"/>
      <c r="C86" s="29" t="n"/>
      <c r="D86" s="29" t="n"/>
      <c r="E86" s="29" t="n"/>
      <c r="F86" s="29" t="n"/>
      <c r="G86" s="31" t="n"/>
      <c r="H86" s="29" t="n"/>
    </row>
    <row r="87">
      <c r="A87" s="31" t="n"/>
      <c r="B87" s="29" t="n"/>
      <c r="C87" s="29" t="n"/>
      <c r="D87" s="29" t="n"/>
      <c r="E87" s="29" t="n"/>
      <c r="F87" s="29" t="n"/>
      <c r="G87" s="31" t="n"/>
      <c r="H87" s="29" t="n"/>
    </row>
    <row r="88">
      <c r="A88" s="31" t="n"/>
      <c r="B88" s="29" t="n"/>
      <c r="C88" s="29" t="n"/>
      <c r="D88" s="29" t="n"/>
      <c r="E88" s="29" t="n"/>
      <c r="F88" s="29" t="n"/>
      <c r="G88" s="31" t="n"/>
      <c r="H88" s="29" t="n"/>
    </row>
    <row r="89">
      <c r="A89" s="31" t="n"/>
      <c r="B89" s="29" t="n"/>
      <c r="C89" s="29" t="n"/>
      <c r="D89" s="29" t="n"/>
      <c r="E89" s="29" t="n"/>
      <c r="F89" s="29" t="n"/>
      <c r="G89" s="31" t="n"/>
      <c r="H89" s="29" t="n"/>
    </row>
    <row r="90">
      <c r="A90" s="31" t="n"/>
      <c r="B90" s="29" t="n"/>
      <c r="C90" s="29" t="n"/>
      <c r="D90" s="29" t="n"/>
      <c r="E90" s="29" t="n"/>
      <c r="F90" s="29" t="n"/>
      <c r="G90" s="31" t="n"/>
      <c r="H90" s="29" t="n"/>
    </row>
    <row r="91">
      <c r="A91" s="31" t="n"/>
      <c r="B91" s="29" t="n"/>
      <c r="C91" s="29" t="n"/>
      <c r="D91" s="29" t="n"/>
      <c r="E91" s="29" t="n"/>
      <c r="F91" s="29" t="n"/>
      <c r="G91" s="31" t="n"/>
      <c r="H91" s="29" t="n"/>
    </row>
    <row r="92">
      <c r="A92" s="31" t="n"/>
      <c r="B92" s="29" t="n"/>
      <c r="C92" s="29" t="n"/>
      <c r="D92" s="29" t="n"/>
      <c r="E92" s="29" t="n"/>
      <c r="F92" s="29" t="n"/>
      <c r="G92" s="31" t="n"/>
      <c r="H92" s="29" t="n"/>
    </row>
    <row r="93">
      <c r="A93" s="31" t="n"/>
      <c r="B93" s="29" t="n"/>
      <c r="C93" s="29" t="n"/>
      <c r="D93" s="29" t="n"/>
      <c r="E93" s="29" t="n"/>
      <c r="F93" s="29" t="n"/>
      <c r="G93" s="31" t="n"/>
      <c r="H93" s="29" t="n"/>
    </row>
    <row r="94">
      <c r="A94" s="31" t="n"/>
      <c r="B94" s="29" t="n"/>
      <c r="C94" s="29" t="n"/>
      <c r="D94" s="29" t="n"/>
      <c r="E94" s="29" t="n"/>
      <c r="F94" s="29" t="n"/>
      <c r="G94" s="31" t="n"/>
      <c r="H94" s="29" t="n"/>
    </row>
    <row r="95">
      <c r="A95" s="31" t="n"/>
      <c r="B95" s="29" t="n"/>
      <c r="C95" s="29" t="n"/>
      <c r="D95" s="29" t="n"/>
      <c r="E95" s="29" t="n"/>
      <c r="F95" s="29" t="n"/>
      <c r="G95" s="31" t="n"/>
      <c r="H95" s="29" t="n"/>
    </row>
    <row r="96">
      <c r="A96" s="31" t="n"/>
      <c r="B96" s="29" t="n"/>
      <c r="C96" s="29" t="n"/>
      <c r="D96" s="29" t="n"/>
      <c r="E96" s="29" t="n"/>
      <c r="F96" s="29" t="n"/>
      <c r="G96" s="31" t="n"/>
      <c r="H96" s="29" t="n"/>
    </row>
    <row r="97">
      <c r="A97" s="31" t="n"/>
      <c r="B97" s="29" t="n"/>
      <c r="C97" s="29" t="n"/>
      <c r="D97" s="29" t="n"/>
      <c r="E97" s="29" t="n"/>
      <c r="F97" s="29" t="n"/>
      <c r="G97" s="31" t="n"/>
      <c r="H97" s="29" t="n"/>
    </row>
    <row r="98">
      <c r="A98" s="31" t="n"/>
      <c r="B98" s="29" t="n"/>
      <c r="C98" s="29" t="n"/>
      <c r="D98" s="29" t="n"/>
      <c r="E98" s="29" t="n"/>
      <c r="F98" s="29" t="n"/>
      <c r="G98" s="31" t="n"/>
      <c r="H98" s="29" t="n"/>
    </row>
    <row r="99">
      <c r="A99" s="31" t="n"/>
      <c r="B99" s="29" t="n"/>
      <c r="C99" s="29" t="n"/>
      <c r="D99" s="29" t="n"/>
      <c r="E99" s="29" t="n"/>
      <c r="F99" s="29" t="n"/>
      <c r="G99" s="31" t="n"/>
      <c r="H99" s="29" t="n"/>
    </row>
    <row r="100">
      <c r="A100" s="31" t="n"/>
      <c r="B100" s="29" t="n"/>
      <c r="C100" s="29" t="n"/>
      <c r="D100" s="29" t="n"/>
      <c r="E100" s="29" t="n"/>
      <c r="F100" s="29" t="n"/>
      <c r="G100" s="31" t="n"/>
      <c r="H100" s="29" t="n"/>
    </row>
    <row r="101">
      <c r="A101" s="31" t="n"/>
      <c r="B101" s="29" t="n"/>
      <c r="C101" s="29" t="n"/>
      <c r="D101" s="29" t="n"/>
      <c r="E101" s="29" t="n"/>
      <c r="F101" s="29" t="n"/>
      <c r="G101" s="31" t="n"/>
      <c r="H101" s="29" t="n"/>
    </row>
    <row r="102">
      <c r="A102" s="31" t="n"/>
      <c r="B102" s="29" t="n"/>
      <c r="C102" s="29" t="n"/>
      <c r="D102" s="29" t="n"/>
      <c r="E102" s="29" t="n"/>
      <c r="F102" s="29" t="n"/>
      <c r="G102" s="31" t="n"/>
      <c r="H102" s="29" t="n"/>
    </row>
    <row r="103">
      <c r="A103" s="31" t="n"/>
      <c r="B103" s="29" t="n"/>
      <c r="C103" s="29" t="n"/>
      <c r="D103" s="29" t="n"/>
      <c r="E103" s="29" t="n"/>
      <c r="F103" s="29" t="n"/>
      <c r="G103" s="31" t="n"/>
      <c r="H103" s="29" t="n"/>
    </row>
    <row r="104">
      <c r="A104" s="31" t="n"/>
      <c r="B104" s="29" t="n"/>
      <c r="C104" s="29" t="n"/>
      <c r="D104" s="29" t="n"/>
      <c r="E104" s="29" t="n"/>
      <c r="F104" s="29" t="n"/>
      <c r="G104" s="31" t="n"/>
      <c r="H104" s="29" t="n"/>
    </row>
    <row r="105">
      <c r="A105" s="31" t="n"/>
      <c r="B105" s="29" t="n"/>
      <c r="C105" s="29" t="n"/>
      <c r="D105" s="29" t="n"/>
      <c r="E105" s="29" t="n"/>
      <c r="F105" s="29" t="n"/>
      <c r="G105" s="31" t="n"/>
      <c r="H105" s="29" t="n"/>
    </row>
    <row r="106">
      <c r="A106" s="31" t="n"/>
      <c r="B106" s="29" t="n"/>
      <c r="C106" s="29" t="n"/>
      <c r="D106" s="29" t="n"/>
      <c r="E106" s="29" t="n"/>
      <c r="F106" s="29" t="n"/>
      <c r="G106" s="31" t="n"/>
      <c r="H106" s="29" t="n"/>
    </row>
    <row r="107">
      <c r="A107" s="31" t="n"/>
      <c r="B107" s="29" t="n"/>
      <c r="C107" s="29" t="n"/>
      <c r="D107" s="29" t="n"/>
      <c r="E107" s="29" t="n"/>
      <c r="F107" s="29" t="n"/>
      <c r="G107" s="31" t="n"/>
      <c r="H107" s="29" t="n"/>
    </row>
    <row r="108">
      <c r="A108" s="31" t="n"/>
      <c r="B108" s="29" t="n"/>
      <c r="C108" s="29" t="n"/>
      <c r="D108" s="29" t="n"/>
      <c r="E108" s="29" t="n"/>
      <c r="F108" s="29" t="n"/>
      <c r="G108" s="31" t="n"/>
      <c r="H108" s="29" t="n"/>
    </row>
    <row r="109">
      <c r="A109" s="31" t="n"/>
      <c r="B109" s="29" t="n"/>
      <c r="C109" s="29" t="n"/>
      <c r="D109" s="29" t="n"/>
      <c r="E109" s="29" t="n"/>
      <c r="F109" s="29" t="n"/>
      <c r="G109" s="31" t="n"/>
      <c r="H109" s="29" t="n"/>
    </row>
    <row r="110">
      <c r="A110" s="31" t="n"/>
      <c r="B110" s="29" t="n"/>
      <c r="C110" s="29" t="n"/>
      <c r="D110" s="29" t="n"/>
      <c r="E110" s="29" t="n"/>
      <c r="F110" s="29" t="n"/>
      <c r="G110" s="31" t="n"/>
      <c r="H110" s="29" t="n"/>
    </row>
    <row r="111">
      <c r="A111" s="31" t="n"/>
      <c r="B111" s="29" t="n"/>
      <c r="C111" s="29" t="n"/>
      <c r="D111" s="29" t="n"/>
      <c r="E111" s="29" t="n"/>
      <c r="F111" s="29" t="n"/>
      <c r="G111" s="31" t="n"/>
      <c r="H111" s="29" t="n"/>
    </row>
    <row r="112">
      <c r="A112" s="31" t="n"/>
      <c r="B112" s="29" t="n"/>
      <c r="C112" s="29" t="n"/>
      <c r="D112" s="29" t="n"/>
      <c r="E112" s="29" t="n"/>
      <c r="F112" s="29" t="n"/>
      <c r="G112" s="31" t="n"/>
      <c r="H112" s="29" t="n"/>
    </row>
    <row r="113">
      <c r="A113" s="31" t="n"/>
      <c r="B113" s="29" t="n"/>
      <c r="C113" s="29" t="n"/>
      <c r="D113" s="29" t="n"/>
      <c r="E113" s="29" t="n"/>
      <c r="F113" s="29" t="n"/>
      <c r="G113" s="31" t="n"/>
      <c r="H113" s="29" t="n"/>
    </row>
    <row r="114">
      <c r="A114" s="31" t="n"/>
      <c r="B114" s="29" t="n"/>
      <c r="C114" s="29" t="n"/>
      <c r="D114" s="29" t="n"/>
      <c r="E114" s="29" t="n"/>
      <c r="F114" s="29" t="n"/>
      <c r="G114" s="31" t="n"/>
      <c r="H114" s="29" t="n"/>
    </row>
    <row r="115">
      <c r="A115" s="31" t="n"/>
      <c r="B115" s="29" t="n"/>
      <c r="C115" s="29" t="n"/>
      <c r="D115" s="29" t="n"/>
      <c r="E115" s="29" t="n"/>
      <c r="F115" s="29" t="n"/>
      <c r="G115" s="31" t="n"/>
      <c r="H115" s="29" t="n"/>
    </row>
    <row r="116">
      <c r="A116" s="31" t="n"/>
      <c r="B116" s="29" t="n"/>
      <c r="C116" s="29" t="n"/>
      <c r="D116" s="29" t="n"/>
      <c r="E116" s="29" t="n"/>
      <c r="F116" s="29" t="n"/>
      <c r="G116" s="31" t="n"/>
      <c r="H116" s="29" t="n"/>
    </row>
    <row r="117">
      <c r="A117" s="31" t="n"/>
      <c r="B117" s="29" t="n"/>
      <c r="C117" s="29" t="n"/>
      <c r="D117" s="29" t="n"/>
      <c r="E117" s="29" t="n"/>
      <c r="F117" s="29" t="n"/>
      <c r="G117" s="31" t="n"/>
      <c r="H117" s="29" t="n"/>
    </row>
    <row r="118">
      <c r="A118" s="31" t="n"/>
      <c r="B118" s="29" t="n"/>
      <c r="C118" s="29" t="n"/>
      <c r="D118" s="29" t="n"/>
      <c r="E118" s="29" t="n"/>
      <c r="F118" s="29" t="n"/>
      <c r="G118" s="31" t="n"/>
      <c r="H118" s="29" t="n"/>
    </row>
    <row r="119">
      <c r="A119" s="31" t="n"/>
      <c r="B119" s="29" t="n"/>
      <c r="C119" s="29" t="n"/>
      <c r="D119" s="29" t="n"/>
      <c r="E119" s="29" t="n"/>
      <c r="F119" s="29" t="n"/>
      <c r="G119" s="31" t="n"/>
      <c r="H119" s="29" t="n"/>
    </row>
    <row r="120">
      <c r="A120" s="31" t="n"/>
      <c r="B120" s="29" t="n"/>
      <c r="C120" s="29" t="n"/>
      <c r="D120" s="29" t="n"/>
      <c r="E120" s="29" t="n"/>
      <c r="F120" s="29" t="n"/>
      <c r="G120" s="31" t="n"/>
      <c r="H120" s="29" t="n"/>
    </row>
    <row r="121">
      <c r="A121" s="31" t="n"/>
      <c r="B121" s="29" t="n"/>
      <c r="C121" s="29" t="n"/>
      <c r="D121" s="29" t="n"/>
      <c r="E121" s="29" t="n"/>
      <c r="F121" s="29" t="n"/>
      <c r="G121" s="31" t="n"/>
      <c r="H121" s="29" t="n"/>
    </row>
    <row r="122">
      <c r="A122" s="31" t="n"/>
      <c r="B122" s="29" t="n"/>
      <c r="C122" s="29" t="n"/>
      <c r="D122" s="29" t="n"/>
      <c r="E122" s="29" t="n"/>
      <c r="F122" s="29" t="n"/>
      <c r="G122" s="31" t="n"/>
      <c r="H122" s="29" t="n"/>
    </row>
    <row r="123">
      <c r="A123" s="31" t="n"/>
      <c r="B123" s="29" t="n"/>
      <c r="C123" s="29" t="n"/>
      <c r="D123" s="29" t="n"/>
      <c r="E123" s="29" t="n"/>
      <c r="F123" s="29" t="n"/>
      <c r="G123" s="31" t="n"/>
      <c r="H123" s="29" t="n"/>
    </row>
    <row r="124">
      <c r="A124" s="31" t="n"/>
      <c r="B124" s="29" t="n"/>
      <c r="C124" s="29" t="n"/>
      <c r="D124" s="29" t="n"/>
      <c r="E124" s="29" t="n"/>
      <c r="F124" s="29" t="n"/>
      <c r="G124" s="31" t="n"/>
      <c r="H124" s="29" t="n"/>
    </row>
    <row r="125">
      <c r="A125" s="31" t="n"/>
      <c r="B125" s="29" t="n"/>
      <c r="C125" s="29" t="n"/>
      <c r="D125" s="29" t="n"/>
      <c r="E125" s="29" t="n"/>
      <c r="F125" s="29" t="n"/>
      <c r="G125" s="31" t="n"/>
      <c r="H125" s="29" t="n"/>
    </row>
    <row r="126">
      <c r="A126" s="31" t="n"/>
      <c r="B126" s="29" t="n"/>
      <c r="C126" s="29" t="n"/>
      <c r="D126" s="29" t="n"/>
      <c r="E126" s="29" t="n"/>
      <c r="F126" s="29" t="n"/>
      <c r="G126" s="31" t="n"/>
      <c r="H126" s="29" t="n"/>
    </row>
    <row r="127">
      <c r="A127" s="31" t="n"/>
      <c r="B127" s="29" t="n"/>
      <c r="C127" s="29" t="n"/>
      <c r="D127" s="29" t="n"/>
      <c r="E127" s="29" t="n"/>
      <c r="F127" s="29" t="n"/>
      <c r="G127" s="31" t="n"/>
      <c r="H127" s="29" t="n"/>
    </row>
    <row r="128">
      <c r="A128" s="31" t="n"/>
      <c r="B128" s="29" t="n"/>
      <c r="C128" s="29" t="n"/>
      <c r="D128" s="29" t="n"/>
      <c r="E128" s="29" t="n"/>
      <c r="F128" s="29" t="n"/>
      <c r="G128" s="31" t="n"/>
      <c r="H128" s="29" t="n"/>
    </row>
    <row r="129">
      <c r="A129" s="31" t="n"/>
      <c r="B129" s="29" t="n"/>
      <c r="C129" s="29" t="n"/>
      <c r="D129" s="29" t="n"/>
      <c r="E129" s="29" t="n"/>
      <c r="F129" s="29" t="n"/>
      <c r="G129" s="31" t="n"/>
      <c r="H129" s="29" t="n"/>
    </row>
    <row r="130">
      <c r="A130" s="31" t="n"/>
      <c r="B130" s="29" t="n"/>
      <c r="C130" s="29" t="n"/>
      <c r="D130" s="29" t="n"/>
      <c r="E130" s="29" t="n"/>
      <c r="F130" s="29" t="n"/>
      <c r="G130" s="31" t="n"/>
      <c r="H130" s="29" t="n"/>
    </row>
    <row r="131">
      <c r="A131" s="31" t="n"/>
      <c r="B131" s="29" t="n"/>
      <c r="C131" s="29" t="n"/>
      <c r="D131" s="29" t="n"/>
      <c r="E131" s="29" t="n"/>
      <c r="F131" s="29" t="n"/>
      <c r="G131" s="31" t="n"/>
      <c r="H131" s="29" t="n"/>
    </row>
    <row r="132">
      <c r="A132" s="31" t="n"/>
      <c r="B132" s="29" t="n"/>
      <c r="C132" s="29" t="n"/>
      <c r="D132" s="29" t="n"/>
      <c r="E132" s="29" t="n"/>
      <c r="F132" s="29" t="n"/>
      <c r="G132" s="31" t="n"/>
      <c r="H132" s="29" t="n"/>
    </row>
    <row r="133">
      <c r="A133" s="31" t="n"/>
      <c r="B133" s="29" t="n"/>
      <c r="C133" s="29" t="n"/>
      <c r="D133" s="29" t="n"/>
      <c r="E133" s="29" t="n"/>
      <c r="F133" s="29" t="n"/>
      <c r="G133" s="31" t="n"/>
      <c r="H133" s="29" t="n"/>
    </row>
    <row r="134">
      <c r="A134" s="31" t="n"/>
      <c r="B134" s="29" t="n"/>
      <c r="C134" s="29" t="n"/>
      <c r="D134" s="29" t="n"/>
      <c r="E134" s="29" t="n"/>
      <c r="F134" s="29" t="n"/>
      <c r="G134" s="31" t="n"/>
      <c r="H134" s="29" t="n"/>
    </row>
    <row r="135">
      <c r="A135" s="31" t="n"/>
      <c r="B135" s="29" t="n"/>
      <c r="C135" s="29" t="n"/>
      <c r="D135" s="29" t="n"/>
      <c r="E135" s="29" t="n"/>
      <c r="F135" s="29" t="n"/>
      <c r="G135" s="31" t="n"/>
      <c r="H135" s="29" t="n"/>
    </row>
    <row r="136">
      <c r="A136" s="31" t="n"/>
      <c r="B136" s="29" t="n"/>
      <c r="C136" s="29" t="n"/>
      <c r="D136" s="29" t="n"/>
      <c r="E136" s="29" t="n"/>
      <c r="F136" s="29" t="n"/>
      <c r="G136" s="31" t="n"/>
      <c r="H136" s="29" t="n"/>
    </row>
    <row r="137">
      <c r="A137" s="31" t="n"/>
      <c r="B137" s="29" t="n"/>
      <c r="C137" s="29" t="n"/>
      <c r="D137" s="29" t="n"/>
      <c r="E137" s="29" t="n"/>
      <c r="F137" s="29" t="n"/>
      <c r="G137" s="31" t="n"/>
      <c r="H137" s="29" t="n"/>
    </row>
    <row r="138">
      <c r="A138" s="31" t="n"/>
      <c r="B138" s="29" t="n"/>
      <c r="C138" s="29" t="n"/>
      <c r="D138" s="29" t="n"/>
      <c r="E138" s="29" t="n"/>
      <c r="F138" s="29" t="n"/>
      <c r="G138" s="31" t="n"/>
      <c r="H138" s="29" t="n"/>
    </row>
    <row r="139">
      <c r="A139" s="31" t="n"/>
      <c r="B139" s="29" t="n"/>
      <c r="C139" s="29" t="n"/>
      <c r="D139" s="29" t="n"/>
      <c r="E139" s="29" t="n"/>
      <c r="F139" s="29" t="n"/>
      <c r="G139" s="31" t="n"/>
      <c r="H139" s="29" t="n"/>
    </row>
    <row r="140">
      <c r="A140" s="31" t="n"/>
      <c r="B140" s="29" t="n"/>
      <c r="C140" s="29" t="n"/>
      <c r="D140" s="29" t="n"/>
      <c r="E140" s="29" t="n"/>
      <c r="F140" s="29" t="n"/>
      <c r="G140" s="31" t="n"/>
      <c r="H140" s="29" t="n"/>
    </row>
    <row r="141">
      <c r="A141" s="31" t="n"/>
      <c r="B141" s="29" t="n"/>
      <c r="C141" s="29" t="n"/>
      <c r="D141" s="29" t="n"/>
      <c r="E141" s="29" t="n"/>
      <c r="F141" s="29" t="n"/>
      <c r="G141" s="31" t="n"/>
      <c r="H141" s="29" t="n"/>
    </row>
    <row r="142">
      <c r="A142" s="31" t="n"/>
      <c r="B142" s="29" t="n"/>
      <c r="C142" s="29" t="n"/>
      <c r="D142" s="29" t="n"/>
      <c r="E142" s="29" t="n"/>
      <c r="F142" s="29" t="n"/>
      <c r="G142" s="31" t="n"/>
      <c r="H142" s="29" t="n"/>
    </row>
    <row r="143">
      <c r="A143" s="31" t="n"/>
      <c r="B143" s="29" t="n"/>
      <c r="C143" s="29" t="n"/>
      <c r="D143" s="29" t="n"/>
      <c r="E143" s="29" t="n"/>
      <c r="F143" s="29" t="n"/>
      <c r="G143" s="31" t="n"/>
      <c r="H143" s="29" t="n"/>
    </row>
    <row r="144">
      <c r="A144" s="31" t="n"/>
      <c r="B144" s="29" t="n"/>
      <c r="C144" s="29" t="n"/>
      <c r="D144" s="29" t="n"/>
      <c r="E144" s="29" t="n"/>
      <c r="F144" s="29" t="n"/>
      <c r="G144" s="31" t="n"/>
      <c r="H144" s="29" t="n"/>
    </row>
    <row r="145">
      <c r="A145" s="31" t="n"/>
      <c r="B145" s="29" t="n"/>
      <c r="C145" s="29" t="n"/>
      <c r="D145" s="29" t="n"/>
      <c r="E145" s="29" t="n"/>
      <c r="F145" s="29" t="n"/>
      <c r="G145" s="31" t="n"/>
      <c r="H145" s="29" t="n"/>
    </row>
    <row r="146">
      <c r="A146" s="31" t="n"/>
      <c r="B146" s="29" t="n"/>
      <c r="C146" s="29" t="n"/>
      <c r="D146" s="29" t="n"/>
      <c r="E146" s="29" t="n"/>
      <c r="F146" s="29" t="n"/>
      <c r="G146" s="31" t="n"/>
      <c r="H146" s="29" t="n"/>
    </row>
    <row r="147">
      <c r="A147" s="31" t="n"/>
      <c r="B147" s="29" t="n"/>
      <c r="C147" s="29" t="n"/>
      <c r="D147" s="29" t="n"/>
      <c r="E147" s="29" t="n"/>
      <c r="F147" s="29" t="n"/>
      <c r="G147" s="31" t="n"/>
      <c r="H147" s="29" t="n"/>
    </row>
    <row r="148">
      <c r="A148" s="31" t="n"/>
      <c r="B148" s="29" t="n"/>
      <c r="C148" s="29" t="n"/>
      <c r="D148" s="29" t="n"/>
      <c r="E148" s="29" t="n"/>
      <c r="F148" s="29" t="n"/>
      <c r="G148" s="31" t="n"/>
      <c r="H148" s="29" t="n"/>
    </row>
    <row r="149">
      <c r="A149" s="31" t="n"/>
      <c r="B149" s="29" t="n"/>
      <c r="C149" s="29" t="n"/>
      <c r="D149" s="29" t="n"/>
      <c r="E149" s="29" t="n"/>
      <c r="F149" s="29" t="n"/>
      <c r="G149" s="31" t="n"/>
      <c r="H149" s="29" t="n"/>
    </row>
    <row r="150">
      <c r="A150" s="31" t="n"/>
      <c r="B150" s="29" t="n"/>
      <c r="C150" s="29" t="n"/>
      <c r="D150" s="29" t="n"/>
      <c r="E150" s="29" t="n"/>
      <c r="F150" s="29" t="n"/>
      <c r="G150" s="31" t="n"/>
      <c r="H150" s="29" t="n"/>
    </row>
    <row r="151">
      <c r="A151" s="31" t="n"/>
      <c r="B151" s="29" t="n"/>
      <c r="C151" s="29" t="n"/>
      <c r="D151" s="29" t="n"/>
      <c r="E151" s="29" t="n"/>
      <c r="F151" s="29" t="n"/>
      <c r="G151" s="31" t="n"/>
      <c r="H151" s="29" t="n"/>
    </row>
    <row r="152">
      <c r="A152" s="31" t="n"/>
      <c r="B152" s="29" t="n"/>
      <c r="C152" s="29" t="n"/>
      <c r="D152" s="29" t="n"/>
      <c r="E152" s="29" t="n"/>
      <c r="F152" s="29" t="n"/>
      <c r="G152" s="31" t="n"/>
      <c r="H152" s="29" t="n"/>
    </row>
    <row r="153">
      <c r="A153" s="31" t="n"/>
      <c r="B153" s="29" t="n"/>
      <c r="C153" s="29" t="n"/>
      <c r="D153" s="29" t="n"/>
      <c r="E153" s="29" t="n"/>
      <c r="F153" s="29" t="n"/>
      <c r="G153" s="31" t="n"/>
      <c r="H153" s="29" t="n"/>
    </row>
    <row r="154">
      <c r="A154" s="31" t="n"/>
      <c r="B154" s="29" t="n"/>
      <c r="C154" s="29" t="n"/>
      <c r="D154" s="29" t="n"/>
      <c r="E154" s="29" t="n"/>
      <c r="F154" s="29" t="n"/>
      <c r="G154" s="31" t="n"/>
      <c r="H154" s="29" t="n"/>
    </row>
    <row r="155">
      <c r="A155" s="31" t="n"/>
      <c r="B155" s="29" t="n"/>
      <c r="C155" s="29" t="n"/>
      <c r="D155" s="29" t="n"/>
      <c r="E155" s="29" t="n"/>
      <c r="F155" s="29" t="n"/>
      <c r="G155" s="31" t="n"/>
      <c r="H155" s="29" t="n"/>
    </row>
    <row r="156">
      <c r="A156" s="31" t="n"/>
      <c r="B156" s="29" t="n"/>
      <c r="C156" s="29" t="n"/>
      <c r="D156" s="29" t="n"/>
      <c r="E156" s="29" t="n"/>
      <c r="F156" s="29" t="n"/>
      <c r="G156" s="31" t="n"/>
      <c r="H156" s="29" t="n"/>
    </row>
    <row r="157">
      <c r="A157" s="31" t="n"/>
      <c r="B157" s="29" t="n"/>
      <c r="C157" s="29" t="n"/>
      <c r="D157" s="29" t="n"/>
      <c r="E157" s="29" t="n"/>
      <c r="F157" s="29" t="n"/>
      <c r="G157" s="31" t="n"/>
      <c r="H157" s="29" t="n"/>
    </row>
    <row r="158">
      <c r="A158" s="31" t="n"/>
      <c r="B158" s="29" t="n"/>
      <c r="C158" s="29" t="n"/>
      <c r="D158" s="29" t="n"/>
      <c r="E158" s="29" t="n"/>
      <c r="F158" s="29" t="n"/>
      <c r="G158" s="31" t="n"/>
      <c r="H158" s="29" t="n"/>
    </row>
    <row r="159">
      <c r="A159" s="31" t="n"/>
      <c r="B159" s="29" t="n"/>
      <c r="C159" s="29" t="n"/>
      <c r="D159" s="29" t="n"/>
      <c r="E159" s="29" t="n"/>
      <c r="F159" s="29" t="n"/>
      <c r="G159" s="31" t="n"/>
      <c r="H159" s="29" t="n"/>
    </row>
    <row r="160">
      <c r="A160" s="31" t="n"/>
      <c r="B160" s="29" t="n"/>
      <c r="C160" s="29" t="n"/>
      <c r="D160" s="29" t="n"/>
      <c r="E160" s="29" t="n"/>
      <c r="F160" s="29" t="n"/>
      <c r="G160" s="31" t="n"/>
      <c r="H160" s="29" t="n"/>
    </row>
    <row r="161">
      <c r="A161" s="31" t="n"/>
      <c r="B161" s="29" t="n"/>
      <c r="C161" s="29" t="n"/>
      <c r="D161" s="29" t="n"/>
      <c r="E161" s="29" t="n"/>
      <c r="F161" s="29" t="n"/>
      <c r="G161" s="31" t="n"/>
      <c r="H161" s="29" t="n"/>
    </row>
    <row r="162">
      <c r="A162" s="31" t="n"/>
      <c r="B162" s="29" t="n"/>
      <c r="C162" s="29" t="n"/>
      <c r="D162" s="29" t="n"/>
      <c r="E162" s="29" t="n"/>
      <c r="F162" s="29" t="n"/>
      <c r="G162" s="31" t="n"/>
      <c r="H162" s="29" t="n"/>
    </row>
    <row r="163">
      <c r="A163" s="31" t="n"/>
      <c r="B163" s="29" t="n"/>
      <c r="C163" s="29" t="n"/>
      <c r="D163" s="29" t="n"/>
      <c r="E163" s="29" t="n"/>
      <c r="F163" s="29" t="n"/>
      <c r="G163" s="31" t="n"/>
      <c r="H163" s="29" t="n"/>
    </row>
    <row r="164">
      <c r="A164" s="31" t="n"/>
      <c r="B164" s="29" t="n"/>
      <c r="C164" s="29" t="n"/>
      <c r="D164" s="29" t="n"/>
      <c r="E164" s="29" t="n"/>
      <c r="F164" s="29" t="n"/>
      <c r="G164" s="31" t="n"/>
      <c r="H164" s="29" t="n"/>
    </row>
    <row r="165">
      <c r="A165" s="31" t="n"/>
      <c r="B165" s="29" t="n"/>
      <c r="C165" s="29" t="n"/>
      <c r="D165" s="29" t="n"/>
      <c r="E165" s="29" t="n"/>
      <c r="F165" s="29" t="n"/>
      <c r="G165" s="31" t="n"/>
      <c r="H165" s="29" t="n"/>
    </row>
    <row r="166">
      <c r="A166" s="31" t="n"/>
      <c r="B166" s="29" t="n"/>
      <c r="C166" s="29" t="n"/>
      <c r="D166" s="29" t="n"/>
      <c r="E166" s="29" t="n"/>
      <c r="F166" s="29" t="n"/>
      <c r="G166" s="31" t="n"/>
      <c r="H166" s="29" t="n"/>
    </row>
    <row r="167">
      <c r="A167" s="31" t="n"/>
      <c r="B167" s="29" t="n"/>
      <c r="C167" s="29" t="n"/>
      <c r="D167" s="29" t="n"/>
      <c r="E167" s="29" t="n"/>
      <c r="F167" s="29" t="n"/>
      <c r="G167" s="31" t="n"/>
      <c r="H167" s="29" t="n"/>
    </row>
    <row r="168">
      <c r="A168" s="31" t="n"/>
      <c r="B168" s="29" t="n"/>
      <c r="C168" s="29" t="n"/>
      <c r="D168" s="29" t="n"/>
      <c r="E168" s="29" t="n"/>
      <c r="F168" s="29" t="n"/>
      <c r="G168" s="31" t="n"/>
      <c r="H168" s="29" t="n"/>
    </row>
    <row r="169">
      <c r="A169" s="31" t="n"/>
      <c r="B169" s="29" t="n"/>
      <c r="C169" s="29" t="n"/>
      <c r="D169" s="29" t="n"/>
      <c r="E169" s="29" t="n"/>
      <c r="F169" s="29" t="n"/>
      <c r="G169" s="31" t="n"/>
      <c r="H169" s="29" t="n"/>
    </row>
    <row r="170">
      <c r="A170" s="31" t="n"/>
      <c r="B170" s="29" t="n"/>
      <c r="C170" s="29" t="n"/>
      <c r="D170" s="29" t="n"/>
      <c r="E170" s="29" t="n"/>
      <c r="F170" s="29" t="n"/>
      <c r="G170" s="31" t="n"/>
      <c r="H170" s="29" t="n"/>
    </row>
    <row r="171">
      <c r="A171" s="31" t="n"/>
      <c r="B171" s="29" t="n"/>
      <c r="C171" s="29" t="n"/>
      <c r="D171" s="29" t="n"/>
      <c r="E171" s="29" t="n"/>
      <c r="F171" s="29" t="n"/>
      <c r="G171" s="31" t="n"/>
      <c r="H171" s="29" t="n"/>
    </row>
    <row r="172">
      <c r="A172" s="31" t="n"/>
      <c r="B172" s="29" t="n"/>
      <c r="C172" s="29" t="n"/>
      <c r="D172" s="29" t="n"/>
      <c r="E172" s="29" t="n"/>
      <c r="F172" s="29" t="n"/>
      <c r="G172" s="31" t="n"/>
      <c r="H172" s="29" t="n"/>
    </row>
    <row r="173">
      <c r="A173" s="31" t="n"/>
      <c r="B173" s="29" t="n"/>
      <c r="C173" s="29" t="n"/>
      <c r="D173" s="29" t="n"/>
      <c r="E173" s="29" t="n"/>
      <c r="F173" s="29" t="n"/>
      <c r="G173" s="31" t="n"/>
      <c r="H173" s="29" t="n"/>
    </row>
    <row r="174">
      <c r="A174" s="31" t="n"/>
      <c r="B174" s="29" t="n"/>
      <c r="C174" s="29" t="n"/>
      <c r="D174" s="29" t="n"/>
      <c r="E174" s="29" t="n"/>
      <c r="F174" s="29" t="n"/>
      <c r="G174" s="31" t="n"/>
      <c r="H174" s="29" t="n"/>
    </row>
    <row r="175">
      <c r="A175" s="31" t="n"/>
      <c r="B175" s="29" t="n"/>
      <c r="C175" s="29" t="n"/>
      <c r="D175" s="29" t="n"/>
      <c r="E175" s="29" t="n"/>
      <c r="F175" s="29" t="n"/>
      <c r="G175" s="31" t="n"/>
      <c r="H175" s="29" t="n"/>
    </row>
    <row r="176">
      <c r="A176" s="31" t="n"/>
      <c r="B176" s="29" t="n"/>
      <c r="C176" s="29" t="n"/>
      <c r="D176" s="29" t="n"/>
      <c r="E176" s="29" t="n"/>
      <c r="F176" s="29" t="n"/>
      <c r="G176" s="31" t="n"/>
      <c r="H176" s="29" t="n"/>
    </row>
    <row r="177">
      <c r="A177" s="31" t="n"/>
      <c r="B177" s="29" t="n"/>
      <c r="C177" s="29" t="n"/>
      <c r="D177" s="29" t="n"/>
      <c r="E177" s="29" t="n"/>
      <c r="F177" s="29" t="n"/>
      <c r="G177" s="31" t="n"/>
      <c r="H177" s="29" t="n"/>
    </row>
    <row r="178">
      <c r="A178" s="31" t="n"/>
      <c r="B178" s="29" t="n"/>
      <c r="C178" s="29" t="n"/>
      <c r="D178" s="29" t="n"/>
      <c r="E178" s="29" t="n"/>
      <c r="F178" s="29" t="n"/>
      <c r="G178" s="31" t="n"/>
      <c r="H178" s="29" t="n"/>
    </row>
    <row r="179">
      <c r="A179" s="31" t="n"/>
      <c r="B179" s="29" t="n"/>
      <c r="C179" s="29" t="n"/>
      <c r="D179" s="29" t="n"/>
      <c r="E179" s="29" t="n"/>
      <c r="F179" s="29" t="n"/>
      <c r="G179" s="31" t="n"/>
      <c r="H179" s="29" t="n"/>
    </row>
    <row r="180">
      <c r="A180" s="31" t="n"/>
      <c r="B180" s="29" t="n"/>
      <c r="C180" s="29" t="n"/>
      <c r="D180" s="29" t="n"/>
      <c r="E180" s="29" t="n"/>
      <c r="F180" s="29" t="n"/>
      <c r="G180" s="31" t="n"/>
      <c r="H180" s="29" t="n"/>
    </row>
    <row r="181">
      <c r="A181" s="31" t="n"/>
      <c r="B181" s="29" t="n"/>
      <c r="C181" s="29" t="n"/>
      <c r="D181" s="29" t="n"/>
      <c r="E181" s="29" t="n"/>
      <c r="F181" s="29" t="n"/>
      <c r="G181" s="31" t="n"/>
      <c r="H181" s="29" t="n"/>
    </row>
    <row r="182">
      <c r="A182" s="31" t="n"/>
      <c r="B182" s="29" t="n"/>
      <c r="C182" s="29" t="n"/>
      <c r="D182" s="29" t="n"/>
      <c r="E182" s="29" t="n"/>
      <c r="F182" s="29" t="n"/>
      <c r="G182" s="31" t="n"/>
      <c r="H182" s="29" t="n"/>
    </row>
    <row r="183">
      <c r="A183" s="31" t="n"/>
      <c r="B183" s="29" t="n"/>
      <c r="C183" s="29" t="n"/>
      <c r="D183" s="29" t="n"/>
      <c r="E183" s="29" t="n"/>
      <c r="F183" s="29" t="n"/>
      <c r="G183" s="31" t="n"/>
      <c r="H183" s="29" t="n"/>
    </row>
    <row r="184">
      <c r="A184" s="31" t="n"/>
      <c r="B184" s="29" t="n"/>
      <c r="C184" s="29" t="n"/>
      <c r="D184" s="29" t="n"/>
      <c r="E184" s="29" t="n"/>
      <c r="F184" s="29" t="n"/>
      <c r="G184" s="31" t="n"/>
      <c r="H184" s="29" t="n"/>
    </row>
    <row r="185">
      <c r="A185" s="31" t="n"/>
      <c r="B185" s="29" t="n"/>
      <c r="C185" s="29" t="n"/>
      <c r="D185" s="29" t="n"/>
      <c r="E185" s="29" t="n"/>
      <c r="F185" s="29" t="n"/>
      <c r="G185" s="31" t="n"/>
      <c r="H185" s="29" t="n"/>
    </row>
    <row r="186">
      <c r="A186" s="31" t="n"/>
      <c r="B186" s="29" t="n"/>
      <c r="C186" s="29" t="n"/>
      <c r="D186" s="29" t="n"/>
      <c r="E186" s="29" t="n"/>
      <c r="F186" s="29" t="n"/>
      <c r="G186" s="31" t="n"/>
      <c r="H186" s="29" t="n"/>
    </row>
    <row r="187">
      <c r="A187" s="31" t="n"/>
      <c r="B187" s="29" t="n"/>
      <c r="C187" s="29" t="n"/>
      <c r="D187" s="29" t="n"/>
      <c r="E187" s="29" t="n"/>
      <c r="F187" s="29" t="n"/>
      <c r="G187" s="31" t="n"/>
      <c r="H187" s="29" t="n"/>
    </row>
    <row r="188">
      <c r="A188" s="31" t="n"/>
      <c r="B188" s="29" t="n"/>
      <c r="C188" s="29" t="n"/>
      <c r="D188" s="29" t="n"/>
      <c r="E188" s="29" t="n"/>
      <c r="F188" s="29" t="n"/>
      <c r="G188" s="31" t="n"/>
      <c r="H188" s="29" t="n"/>
    </row>
    <row r="189">
      <c r="A189" s="31" t="n"/>
      <c r="B189" s="29" t="n"/>
      <c r="C189" s="29" t="n"/>
      <c r="D189" s="29" t="n"/>
      <c r="E189" s="29" t="n"/>
      <c r="F189" s="29" t="n"/>
      <c r="G189" s="31" t="n"/>
      <c r="H189" s="29" t="n"/>
    </row>
    <row r="190">
      <c r="A190" s="31" t="n"/>
      <c r="B190" s="29" t="n"/>
      <c r="C190" s="29" t="n"/>
      <c r="D190" s="29" t="n"/>
      <c r="E190" s="29" t="n"/>
      <c r="F190" s="29" t="n"/>
      <c r="G190" s="31" t="n"/>
      <c r="H190" s="29" t="n"/>
    </row>
    <row r="191">
      <c r="A191" s="31" t="n"/>
      <c r="B191" s="29" t="n"/>
      <c r="C191" s="29" t="n"/>
      <c r="D191" s="29" t="n"/>
      <c r="E191" s="29" t="n"/>
      <c r="F191" s="29" t="n"/>
      <c r="G191" s="31" t="n"/>
      <c r="H191" s="29" t="n"/>
    </row>
    <row r="192">
      <c r="A192" s="31" t="n"/>
      <c r="B192" s="29" t="n"/>
      <c r="C192" s="29" t="n"/>
      <c r="D192" s="29" t="n"/>
      <c r="E192" s="29" t="n"/>
      <c r="F192" s="29" t="n"/>
      <c r="G192" s="31" t="n"/>
      <c r="H192" s="29" t="n"/>
    </row>
    <row r="193">
      <c r="A193" s="31" t="n"/>
      <c r="B193" s="29" t="n"/>
      <c r="C193" s="29" t="n"/>
      <c r="D193" s="29" t="n"/>
      <c r="E193" s="29" t="n"/>
      <c r="F193" s="29" t="n"/>
      <c r="G193" s="31" t="n"/>
      <c r="H193" s="29" t="n"/>
    </row>
    <row r="194">
      <c r="A194" s="31" t="n"/>
      <c r="B194" s="29" t="n"/>
      <c r="C194" s="29" t="n"/>
      <c r="D194" s="29" t="n"/>
      <c r="E194" s="29" t="n"/>
      <c r="F194" s="29" t="n"/>
      <c r="G194" s="31" t="n"/>
      <c r="H194" s="29" t="n"/>
    </row>
    <row r="195">
      <c r="A195" s="31" t="n"/>
      <c r="B195" s="29" t="n"/>
      <c r="C195" s="29" t="n"/>
      <c r="D195" s="29" t="n"/>
      <c r="E195" s="29" t="n"/>
      <c r="F195" s="29" t="n"/>
      <c r="G195" s="31" t="n"/>
      <c r="H195" s="29" t="n"/>
    </row>
    <row r="196">
      <c r="A196" s="31" t="n"/>
      <c r="B196" s="29" t="n"/>
      <c r="C196" s="29" t="n"/>
      <c r="D196" s="29" t="n"/>
      <c r="E196" s="29" t="n"/>
      <c r="F196" s="29" t="n"/>
      <c r="G196" s="31" t="n"/>
      <c r="H196" s="29" t="n"/>
    </row>
    <row r="197">
      <c r="A197" s="31" t="n"/>
      <c r="B197" s="29" t="n"/>
      <c r="C197" s="29" t="n"/>
      <c r="D197" s="29" t="n"/>
      <c r="E197" s="29" t="n"/>
      <c r="F197" s="29" t="n"/>
      <c r="G197" s="31" t="n"/>
      <c r="H197" s="29" t="n"/>
    </row>
    <row r="198">
      <c r="A198" s="31" t="n"/>
      <c r="B198" s="29" t="n"/>
      <c r="C198" s="29" t="n"/>
      <c r="D198" s="29" t="n"/>
      <c r="E198" s="29" t="n"/>
      <c r="F198" s="29" t="n"/>
      <c r="G198" s="31" t="n"/>
      <c r="H198" s="29" t="n"/>
    </row>
    <row r="199">
      <c r="A199" s="31" t="n"/>
      <c r="B199" s="29" t="n"/>
      <c r="C199" s="29" t="n"/>
      <c r="D199" s="29" t="n"/>
      <c r="E199" s="29" t="n"/>
      <c r="F199" s="29" t="n"/>
      <c r="G199" s="31" t="n"/>
      <c r="H199" s="29" t="n"/>
    </row>
    <row r="200">
      <c r="A200" s="31" t="n"/>
      <c r="B200" s="29" t="n"/>
      <c r="C200" s="29" t="n"/>
      <c r="D200" s="29" t="n"/>
      <c r="E200" s="29" t="n"/>
      <c r="F200" s="29" t="n"/>
      <c r="G200" s="31" t="n"/>
      <c r="H200" s="29" t="n"/>
    </row>
    <row r="201">
      <c r="A201" s="31" t="n"/>
      <c r="B201" s="29" t="n"/>
      <c r="C201" s="29" t="n"/>
      <c r="D201" s="29" t="n"/>
      <c r="E201" s="29" t="n"/>
      <c r="F201" s="29" t="n"/>
      <c r="G201" s="31" t="n"/>
      <c r="H201" s="29" t="n"/>
    </row>
    <row r="202">
      <c r="A202" s="31" t="n"/>
      <c r="B202" s="29" t="n"/>
      <c r="C202" s="29" t="n"/>
      <c r="D202" s="29" t="n"/>
      <c r="E202" s="29" t="n"/>
      <c r="F202" s="29" t="n"/>
      <c r="G202" s="31" t="n"/>
      <c r="H202" s="29" t="n"/>
    </row>
    <row r="203">
      <c r="A203" s="31" t="n"/>
      <c r="B203" s="29" t="n"/>
      <c r="C203" s="29" t="n"/>
      <c r="D203" s="29" t="n"/>
      <c r="E203" s="29" t="n"/>
      <c r="F203" s="29" t="n"/>
      <c r="G203" s="31" t="n"/>
      <c r="H203" s="29" t="n"/>
    </row>
    <row r="204">
      <c r="A204" s="31" t="n"/>
      <c r="B204" s="29" t="n"/>
      <c r="C204" s="29" t="n"/>
      <c r="D204" s="29" t="n"/>
      <c r="E204" s="29" t="n"/>
      <c r="F204" s="29" t="n"/>
      <c r="G204" s="31" t="n"/>
      <c r="H204" s="29" t="n"/>
    </row>
  </sheetData>
  <mergeCells count="2">
    <mergeCell ref="A2:H2"/>
    <mergeCell ref="A1:H1"/>
  </mergeCells>
  <dataValidations count="1">
    <dataValidation sqref="B5:B204" showDropDown="0" showInputMessage="0" showErrorMessage="0" allowBlank="1" error="Valeur non autorisée." prompt="Choisis une valeur dans la liste." type="list">
      <formula1>=Parametres!$I$5:$I$10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  <col width="28" customWidth="1" min="4" max="4"/>
    <col width="18" customWidth="1" min="5" max="5"/>
    <col width="14" customWidth="1" min="6" max="6"/>
  </cols>
  <sheetData>
    <row r="1">
      <c r="A1" s="1" t="inlineStr">
        <is>
          <t>Qualité &amp; contrôle</t>
        </is>
      </c>
    </row>
    <row r="2">
      <c r="A2" s="2" t="inlineStr">
        <is>
          <t>Saisir les contrôles, écarts et corrections.</t>
        </is>
      </c>
    </row>
    <row r="4" ht="22" customHeight="1">
      <c r="A4" s="28" t="inlineStr">
        <is>
          <t>Date</t>
        </is>
      </c>
      <c r="B4" s="28" t="inlineStr">
        <is>
          <t>Contrôle effectué</t>
        </is>
      </c>
      <c r="C4" s="28" t="inlineStr">
        <is>
          <t>Non-conformité</t>
        </is>
      </c>
      <c r="D4" s="28" t="inlineStr">
        <is>
          <t>Correction / action</t>
        </is>
      </c>
      <c r="E4" s="28" t="inlineStr">
        <is>
          <t>Responsable</t>
        </is>
      </c>
      <c r="F4" s="28" t="inlineStr">
        <is>
          <t>Statut</t>
        </is>
      </c>
    </row>
    <row r="5">
      <c r="A5" s="31" t="n">
        <v>46073</v>
      </c>
      <c r="B5" s="29" t="inlineStr">
        <is>
          <t>Contrôle dosage béton semelles</t>
        </is>
      </c>
      <c r="C5" s="29" t="inlineStr">
        <is>
          <t>Aucune</t>
        </is>
      </c>
      <c r="D5" s="29" t="inlineStr">
        <is>
          <t>Validation avant coulage</t>
        </is>
      </c>
      <c r="E5" s="29" t="inlineStr">
        <is>
          <t>DT</t>
        </is>
      </c>
      <c r="F5" s="29" t="inlineStr">
        <is>
          <t>Conforme</t>
        </is>
      </c>
    </row>
    <row r="6">
      <c r="A6" s="31" t="n">
        <v>46086</v>
      </c>
      <c r="B6" s="29" t="inlineStr">
        <is>
          <t>Vérification aplomb poteaux RDC</t>
        </is>
      </c>
      <c r="C6" s="29" t="inlineStr">
        <is>
          <t>Écart léger sur 1 poteau</t>
        </is>
      </c>
      <c r="D6" s="29" t="inlineStr">
        <is>
          <t>Reprise coffrage avant coulage</t>
        </is>
      </c>
      <c r="E6" s="29" t="inlineStr">
        <is>
          <t>Conducteur travaux</t>
        </is>
      </c>
      <c r="F6" s="29" t="inlineStr">
        <is>
          <t>Corrigé</t>
        </is>
      </c>
    </row>
    <row r="7">
      <c r="A7" s="31" t="n">
        <v>46097</v>
      </c>
      <c r="B7" s="29" t="inlineStr">
        <is>
          <t>Contrôle réservations techniques dalle</t>
        </is>
      </c>
      <c r="C7" s="29" t="inlineStr">
        <is>
          <t>Aucune</t>
        </is>
      </c>
      <c r="D7" s="29" t="inlineStr">
        <is>
          <t>Coordination plomberie notée</t>
        </is>
      </c>
      <c r="E7" s="29" t="inlineStr">
        <is>
          <t>DT</t>
        </is>
      </c>
      <c r="F7" s="29" t="inlineStr">
        <is>
          <t>Conforme</t>
        </is>
      </c>
    </row>
    <row r="8">
      <c r="A8" s="31" t="n"/>
      <c r="B8" s="29" t="n"/>
      <c r="C8" s="29" t="n"/>
      <c r="D8" s="29" t="n"/>
      <c r="E8" s="29" t="n"/>
      <c r="F8" s="29" t="n"/>
    </row>
    <row r="9">
      <c r="A9" s="31" t="n"/>
      <c r="B9" s="29" t="n"/>
      <c r="C9" s="29" t="n"/>
      <c r="D9" s="29" t="n"/>
      <c r="E9" s="29" t="n"/>
      <c r="F9" s="29" t="n"/>
    </row>
    <row r="10">
      <c r="A10" s="31" t="n"/>
      <c r="B10" s="29" t="n"/>
      <c r="C10" s="29" t="n"/>
      <c r="D10" s="29" t="n"/>
      <c r="E10" s="29" t="n"/>
      <c r="F10" s="29" t="n"/>
    </row>
    <row r="11">
      <c r="A11" s="31" t="n"/>
      <c r="B11" s="29" t="n"/>
      <c r="C11" s="29" t="n"/>
      <c r="D11" s="29" t="n"/>
      <c r="E11" s="29" t="n"/>
      <c r="F11" s="29" t="n"/>
    </row>
    <row r="12">
      <c r="A12" s="31" t="n"/>
      <c r="B12" s="29" t="n"/>
      <c r="C12" s="29" t="n"/>
      <c r="D12" s="29" t="n"/>
      <c r="E12" s="29" t="n"/>
      <c r="F12" s="29" t="n"/>
    </row>
    <row r="13">
      <c r="A13" s="31" t="n"/>
      <c r="B13" s="29" t="n"/>
      <c r="C13" s="29" t="n"/>
      <c r="D13" s="29" t="n"/>
      <c r="E13" s="29" t="n"/>
      <c r="F13" s="29" t="n"/>
    </row>
    <row r="14">
      <c r="A14" s="31" t="n"/>
      <c r="B14" s="29" t="n"/>
      <c r="C14" s="29" t="n"/>
      <c r="D14" s="29" t="n"/>
      <c r="E14" s="29" t="n"/>
      <c r="F14" s="29" t="n"/>
    </row>
    <row r="15">
      <c r="A15" s="31" t="n"/>
      <c r="B15" s="29" t="n"/>
      <c r="C15" s="29" t="n"/>
      <c r="D15" s="29" t="n"/>
      <c r="E15" s="29" t="n"/>
      <c r="F15" s="29" t="n"/>
    </row>
    <row r="16">
      <c r="A16" s="31" t="n"/>
      <c r="B16" s="29" t="n"/>
      <c r="C16" s="29" t="n"/>
      <c r="D16" s="29" t="n"/>
      <c r="E16" s="29" t="n"/>
      <c r="F16" s="29" t="n"/>
    </row>
    <row r="17">
      <c r="A17" s="31" t="n"/>
      <c r="B17" s="29" t="n"/>
      <c r="C17" s="29" t="n"/>
      <c r="D17" s="29" t="n"/>
      <c r="E17" s="29" t="n"/>
      <c r="F17" s="29" t="n"/>
    </row>
    <row r="18">
      <c r="A18" s="31" t="n"/>
      <c r="B18" s="29" t="n"/>
      <c r="C18" s="29" t="n"/>
      <c r="D18" s="29" t="n"/>
      <c r="E18" s="29" t="n"/>
      <c r="F18" s="29" t="n"/>
    </row>
    <row r="19">
      <c r="A19" s="31" t="n"/>
      <c r="B19" s="29" t="n"/>
      <c r="C19" s="29" t="n"/>
      <c r="D19" s="29" t="n"/>
      <c r="E19" s="29" t="n"/>
      <c r="F19" s="29" t="n"/>
    </row>
    <row r="20">
      <c r="A20" s="31" t="n"/>
      <c r="B20" s="29" t="n"/>
      <c r="C20" s="29" t="n"/>
      <c r="D20" s="29" t="n"/>
      <c r="E20" s="29" t="n"/>
      <c r="F20" s="29" t="n"/>
    </row>
    <row r="21">
      <c r="A21" s="31" t="n"/>
      <c r="B21" s="29" t="n"/>
      <c r="C21" s="29" t="n"/>
      <c r="D21" s="29" t="n"/>
      <c r="E21" s="29" t="n"/>
      <c r="F21" s="29" t="n"/>
    </row>
    <row r="22">
      <c r="A22" s="31" t="n"/>
      <c r="B22" s="29" t="n"/>
      <c r="C22" s="29" t="n"/>
      <c r="D22" s="29" t="n"/>
      <c r="E22" s="29" t="n"/>
      <c r="F22" s="29" t="n"/>
    </row>
    <row r="23">
      <c r="A23" s="31" t="n"/>
      <c r="B23" s="29" t="n"/>
      <c r="C23" s="29" t="n"/>
      <c r="D23" s="29" t="n"/>
      <c r="E23" s="29" t="n"/>
      <c r="F23" s="29" t="n"/>
    </row>
    <row r="24">
      <c r="A24" s="31" t="n"/>
      <c r="B24" s="29" t="n"/>
      <c r="C24" s="29" t="n"/>
      <c r="D24" s="29" t="n"/>
      <c r="E24" s="29" t="n"/>
      <c r="F24" s="29" t="n"/>
    </row>
    <row r="25">
      <c r="A25" s="31" t="n"/>
      <c r="B25" s="29" t="n"/>
      <c r="C25" s="29" t="n"/>
      <c r="D25" s="29" t="n"/>
      <c r="E25" s="29" t="n"/>
      <c r="F25" s="29" t="n"/>
    </row>
    <row r="26">
      <c r="A26" s="31" t="n"/>
      <c r="B26" s="29" t="n"/>
      <c r="C26" s="29" t="n"/>
      <c r="D26" s="29" t="n"/>
      <c r="E26" s="29" t="n"/>
      <c r="F26" s="29" t="n"/>
    </row>
    <row r="27">
      <c r="A27" s="31" t="n"/>
      <c r="B27" s="29" t="n"/>
      <c r="C27" s="29" t="n"/>
      <c r="D27" s="29" t="n"/>
      <c r="E27" s="29" t="n"/>
      <c r="F27" s="29" t="n"/>
    </row>
    <row r="28">
      <c r="A28" s="31" t="n"/>
      <c r="B28" s="29" t="n"/>
      <c r="C28" s="29" t="n"/>
      <c r="D28" s="29" t="n"/>
      <c r="E28" s="29" t="n"/>
      <c r="F28" s="29" t="n"/>
    </row>
    <row r="29">
      <c r="A29" s="31" t="n"/>
      <c r="B29" s="29" t="n"/>
      <c r="C29" s="29" t="n"/>
      <c r="D29" s="29" t="n"/>
      <c r="E29" s="29" t="n"/>
      <c r="F29" s="29" t="n"/>
    </row>
    <row r="30">
      <c r="A30" s="31" t="n"/>
      <c r="B30" s="29" t="n"/>
      <c r="C30" s="29" t="n"/>
      <c r="D30" s="29" t="n"/>
      <c r="E30" s="29" t="n"/>
      <c r="F30" s="29" t="n"/>
    </row>
    <row r="31">
      <c r="A31" s="31" t="n"/>
      <c r="B31" s="29" t="n"/>
      <c r="C31" s="29" t="n"/>
      <c r="D31" s="29" t="n"/>
      <c r="E31" s="29" t="n"/>
      <c r="F31" s="29" t="n"/>
    </row>
    <row r="32">
      <c r="A32" s="31" t="n"/>
      <c r="B32" s="29" t="n"/>
      <c r="C32" s="29" t="n"/>
      <c r="D32" s="29" t="n"/>
      <c r="E32" s="29" t="n"/>
      <c r="F32" s="29" t="n"/>
    </row>
    <row r="33">
      <c r="A33" s="31" t="n"/>
      <c r="B33" s="29" t="n"/>
      <c r="C33" s="29" t="n"/>
      <c r="D33" s="29" t="n"/>
      <c r="E33" s="29" t="n"/>
      <c r="F33" s="29" t="n"/>
    </row>
    <row r="34">
      <c r="A34" s="31" t="n"/>
      <c r="B34" s="29" t="n"/>
      <c r="C34" s="29" t="n"/>
      <c r="D34" s="29" t="n"/>
      <c r="E34" s="29" t="n"/>
      <c r="F34" s="29" t="n"/>
    </row>
    <row r="35">
      <c r="A35" s="31" t="n"/>
      <c r="B35" s="29" t="n"/>
      <c r="C35" s="29" t="n"/>
      <c r="D35" s="29" t="n"/>
      <c r="E35" s="29" t="n"/>
      <c r="F35" s="29" t="n"/>
    </row>
    <row r="36">
      <c r="A36" s="31" t="n"/>
      <c r="B36" s="29" t="n"/>
      <c r="C36" s="29" t="n"/>
      <c r="D36" s="29" t="n"/>
      <c r="E36" s="29" t="n"/>
      <c r="F36" s="29" t="n"/>
    </row>
    <row r="37">
      <c r="A37" s="31" t="n"/>
      <c r="B37" s="29" t="n"/>
      <c r="C37" s="29" t="n"/>
      <c r="D37" s="29" t="n"/>
      <c r="E37" s="29" t="n"/>
      <c r="F37" s="29" t="n"/>
    </row>
    <row r="38">
      <c r="A38" s="31" t="n"/>
      <c r="B38" s="29" t="n"/>
      <c r="C38" s="29" t="n"/>
      <c r="D38" s="29" t="n"/>
      <c r="E38" s="29" t="n"/>
      <c r="F38" s="29" t="n"/>
    </row>
    <row r="39">
      <c r="A39" s="31" t="n"/>
      <c r="B39" s="29" t="n"/>
      <c r="C39" s="29" t="n"/>
      <c r="D39" s="29" t="n"/>
      <c r="E39" s="29" t="n"/>
      <c r="F39" s="29" t="n"/>
    </row>
    <row r="40">
      <c r="A40" s="31" t="n"/>
      <c r="B40" s="29" t="n"/>
      <c r="C40" s="29" t="n"/>
      <c r="D40" s="29" t="n"/>
      <c r="E40" s="29" t="n"/>
      <c r="F40" s="29" t="n"/>
    </row>
    <row r="41">
      <c r="A41" s="31" t="n"/>
      <c r="B41" s="29" t="n"/>
      <c r="C41" s="29" t="n"/>
      <c r="D41" s="29" t="n"/>
      <c r="E41" s="29" t="n"/>
      <c r="F41" s="29" t="n"/>
    </row>
    <row r="42">
      <c r="A42" s="31" t="n"/>
      <c r="B42" s="29" t="n"/>
      <c r="C42" s="29" t="n"/>
      <c r="D42" s="29" t="n"/>
      <c r="E42" s="29" t="n"/>
      <c r="F42" s="29" t="n"/>
    </row>
    <row r="43">
      <c r="A43" s="31" t="n"/>
      <c r="B43" s="29" t="n"/>
      <c r="C43" s="29" t="n"/>
      <c r="D43" s="29" t="n"/>
      <c r="E43" s="29" t="n"/>
      <c r="F43" s="29" t="n"/>
    </row>
    <row r="44">
      <c r="A44" s="31" t="n"/>
      <c r="B44" s="29" t="n"/>
      <c r="C44" s="29" t="n"/>
      <c r="D44" s="29" t="n"/>
      <c r="E44" s="29" t="n"/>
      <c r="F44" s="29" t="n"/>
    </row>
    <row r="45">
      <c r="A45" s="31" t="n"/>
      <c r="B45" s="29" t="n"/>
      <c r="C45" s="29" t="n"/>
      <c r="D45" s="29" t="n"/>
      <c r="E45" s="29" t="n"/>
      <c r="F45" s="29" t="n"/>
    </row>
    <row r="46">
      <c r="A46" s="31" t="n"/>
      <c r="B46" s="29" t="n"/>
      <c r="C46" s="29" t="n"/>
      <c r="D46" s="29" t="n"/>
      <c r="E46" s="29" t="n"/>
      <c r="F46" s="29" t="n"/>
    </row>
    <row r="47">
      <c r="A47" s="31" t="n"/>
      <c r="B47" s="29" t="n"/>
      <c r="C47" s="29" t="n"/>
      <c r="D47" s="29" t="n"/>
      <c r="E47" s="29" t="n"/>
      <c r="F47" s="29" t="n"/>
    </row>
    <row r="48">
      <c r="A48" s="31" t="n"/>
      <c r="B48" s="29" t="n"/>
      <c r="C48" s="29" t="n"/>
      <c r="D48" s="29" t="n"/>
      <c r="E48" s="29" t="n"/>
      <c r="F48" s="29" t="n"/>
    </row>
    <row r="49">
      <c r="A49" s="31" t="n"/>
      <c r="B49" s="29" t="n"/>
      <c r="C49" s="29" t="n"/>
      <c r="D49" s="29" t="n"/>
      <c r="E49" s="29" t="n"/>
      <c r="F49" s="29" t="n"/>
    </row>
    <row r="50">
      <c r="A50" s="31" t="n"/>
      <c r="B50" s="29" t="n"/>
      <c r="C50" s="29" t="n"/>
      <c r="D50" s="29" t="n"/>
      <c r="E50" s="29" t="n"/>
      <c r="F50" s="29" t="n"/>
    </row>
    <row r="51">
      <c r="A51" s="31" t="n"/>
      <c r="B51" s="29" t="n"/>
      <c r="C51" s="29" t="n"/>
      <c r="D51" s="29" t="n"/>
      <c r="E51" s="29" t="n"/>
      <c r="F51" s="29" t="n"/>
    </row>
    <row r="52">
      <c r="A52" s="31" t="n"/>
      <c r="B52" s="29" t="n"/>
      <c r="C52" s="29" t="n"/>
      <c r="D52" s="29" t="n"/>
      <c r="E52" s="29" t="n"/>
      <c r="F52" s="29" t="n"/>
    </row>
    <row r="53">
      <c r="A53" s="31" t="n"/>
      <c r="B53" s="29" t="n"/>
      <c r="C53" s="29" t="n"/>
      <c r="D53" s="29" t="n"/>
      <c r="E53" s="29" t="n"/>
      <c r="F53" s="29" t="n"/>
    </row>
    <row r="54">
      <c r="A54" s="31" t="n"/>
      <c r="B54" s="29" t="n"/>
      <c r="C54" s="29" t="n"/>
      <c r="D54" s="29" t="n"/>
      <c r="E54" s="29" t="n"/>
      <c r="F54" s="29" t="n"/>
    </row>
    <row r="55">
      <c r="A55" s="31" t="n"/>
      <c r="B55" s="29" t="n"/>
      <c r="C55" s="29" t="n"/>
      <c r="D55" s="29" t="n"/>
      <c r="E55" s="29" t="n"/>
      <c r="F55" s="29" t="n"/>
    </row>
    <row r="56">
      <c r="A56" s="31" t="n"/>
      <c r="B56" s="29" t="n"/>
      <c r="C56" s="29" t="n"/>
      <c r="D56" s="29" t="n"/>
      <c r="E56" s="29" t="n"/>
      <c r="F56" s="29" t="n"/>
    </row>
    <row r="57">
      <c r="A57" s="31" t="n"/>
      <c r="B57" s="29" t="n"/>
      <c r="C57" s="29" t="n"/>
      <c r="D57" s="29" t="n"/>
      <c r="E57" s="29" t="n"/>
      <c r="F57" s="29" t="n"/>
    </row>
    <row r="58">
      <c r="A58" s="31" t="n"/>
      <c r="B58" s="29" t="n"/>
      <c r="C58" s="29" t="n"/>
      <c r="D58" s="29" t="n"/>
      <c r="E58" s="29" t="n"/>
      <c r="F58" s="29" t="n"/>
    </row>
    <row r="59">
      <c r="A59" s="31" t="n"/>
      <c r="B59" s="29" t="n"/>
      <c r="C59" s="29" t="n"/>
      <c r="D59" s="29" t="n"/>
      <c r="E59" s="29" t="n"/>
      <c r="F59" s="29" t="n"/>
    </row>
    <row r="60">
      <c r="A60" s="31" t="n"/>
      <c r="B60" s="29" t="n"/>
      <c r="C60" s="29" t="n"/>
      <c r="D60" s="29" t="n"/>
      <c r="E60" s="29" t="n"/>
      <c r="F60" s="29" t="n"/>
    </row>
    <row r="61">
      <c r="A61" s="31" t="n"/>
      <c r="B61" s="29" t="n"/>
      <c r="C61" s="29" t="n"/>
      <c r="D61" s="29" t="n"/>
      <c r="E61" s="29" t="n"/>
      <c r="F61" s="29" t="n"/>
    </row>
    <row r="62">
      <c r="A62" s="31" t="n"/>
      <c r="B62" s="29" t="n"/>
      <c r="C62" s="29" t="n"/>
      <c r="D62" s="29" t="n"/>
      <c r="E62" s="29" t="n"/>
      <c r="F62" s="29" t="n"/>
    </row>
    <row r="63">
      <c r="A63" s="31" t="n"/>
      <c r="B63" s="29" t="n"/>
      <c r="C63" s="29" t="n"/>
      <c r="D63" s="29" t="n"/>
      <c r="E63" s="29" t="n"/>
      <c r="F63" s="29" t="n"/>
    </row>
    <row r="64">
      <c r="A64" s="31" t="n"/>
      <c r="B64" s="29" t="n"/>
      <c r="C64" s="29" t="n"/>
      <c r="D64" s="29" t="n"/>
      <c r="E64" s="29" t="n"/>
      <c r="F64" s="29" t="n"/>
    </row>
    <row r="65">
      <c r="A65" s="31" t="n"/>
      <c r="B65" s="29" t="n"/>
      <c r="C65" s="29" t="n"/>
      <c r="D65" s="29" t="n"/>
      <c r="E65" s="29" t="n"/>
      <c r="F65" s="29" t="n"/>
    </row>
    <row r="66">
      <c r="A66" s="31" t="n"/>
      <c r="B66" s="29" t="n"/>
      <c r="C66" s="29" t="n"/>
      <c r="D66" s="29" t="n"/>
      <c r="E66" s="29" t="n"/>
      <c r="F66" s="29" t="n"/>
    </row>
    <row r="67">
      <c r="A67" s="31" t="n"/>
      <c r="B67" s="29" t="n"/>
      <c r="C67" s="29" t="n"/>
      <c r="D67" s="29" t="n"/>
      <c r="E67" s="29" t="n"/>
      <c r="F67" s="29" t="n"/>
    </row>
    <row r="68">
      <c r="A68" s="31" t="n"/>
      <c r="B68" s="29" t="n"/>
      <c r="C68" s="29" t="n"/>
      <c r="D68" s="29" t="n"/>
      <c r="E68" s="29" t="n"/>
      <c r="F68" s="29" t="n"/>
    </row>
    <row r="69">
      <c r="A69" s="31" t="n"/>
      <c r="B69" s="29" t="n"/>
      <c r="C69" s="29" t="n"/>
      <c r="D69" s="29" t="n"/>
      <c r="E69" s="29" t="n"/>
      <c r="F69" s="29" t="n"/>
    </row>
    <row r="70">
      <c r="A70" s="31" t="n"/>
      <c r="B70" s="29" t="n"/>
      <c r="C70" s="29" t="n"/>
      <c r="D70" s="29" t="n"/>
      <c r="E70" s="29" t="n"/>
      <c r="F70" s="29" t="n"/>
    </row>
    <row r="71">
      <c r="A71" s="31" t="n"/>
      <c r="B71" s="29" t="n"/>
      <c r="C71" s="29" t="n"/>
      <c r="D71" s="29" t="n"/>
      <c r="E71" s="29" t="n"/>
      <c r="F71" s="29" t="n"/>
    </row>
    <row r="72">
      <c r="A72" s="31" t="n"/>
      <c r="B72" s="29" t="n"/>
      <c r="C72" s="29" t="n"/>
      <c r="D72" s="29" t="n"/>
      <c r="E72" s="29" t="n"/>
      <c r="F72" s="29" t="n"/>
    </row>
    <row r="73">
      <c r="A73" s="31" t="n"/>
      <c r="B73" s="29" t="n"/>
      <c r="C73" s="29" t="n"/>
      <c r="D73" s="29" t="n"/>
      <c r="E73" s="29" t="n"/>
      <c r="F73" s="29" t="n"/>
    </row>
    <row r="74">
      <c r="A74" s="31" t="n"/>
      <c r="B74" s="29" t="n"/>
      <c r="C74" s="29" t="n"/>
      <c r="D74" s="29" t="n"/>
      <c r="E74" s="29" t="n"/>
      <c r="F74" s="29" t="n"/>
    </row>
    <row r="75">
      <c r="A75" s="31" t="n"/>
      <c r="B75" s="29" t="n"/>
      <c r="C75" s="29" t="n"/>
      <c r="D75" s="29" t="n"/>
      <c r="E75" s="29" t="n"/>
      <c r="F75" s="29" t="n"/>
    </row>
    <row r="76">
      <c r="A76" s="31" t="n"/>
      <c r="B76" s="29" t="n"/>
      <c r="C76" s="29" t="n"/>
      <c r="D76" s="29" t="n"/>
      <c r="E76" s="29" t="n"/>
      <c r="F76" s="29" t="n"/>
    </row>
    <row r="77">
      <c r="A77" s="31" t="n"/>
      <c r="B77" s="29" t="n"/>
      <c r="C77" s="29" t="n"/>
      <c r="D77" s="29" t="n"/>
      <c r="E77" s="29" t="n"/>
      <c r="F77" s="29" t="n"/>
    </row>
    <row r="78">
      <c r="A78" s="31" t="n"/>
      <c r="B78" s="29" t="n"/>
      <c r="C78" s="29" t="n"/>
      <c r="D78" s="29" t="n"/>
      <c r="E78" s="29" t="n"/>
      <c r="F78" s="29" t="n"/>
    </row>
    <row r="79">
      <c r="A79" s="31" t="n"/>
      <c r="B79" s="29" t="n"/>
      <c r="C79" s="29" t="n"/>
      <c r="D79" s="29" t="n"/>
      <c r="E79" s="29" t="n"/>
      <c r="F79" s="29" t="n"/>
    </row>
    <row r="80">
      <c r="A80" s="31" t="n"/>
      <c r="B80" s="29" t="n"/>
      <c r="C80" s="29" t="n"/>
      <c r="D80" s="29" t="n"/>
      <c r="E80" s="29" t="n"/>
      <c r="F80" s="29" t="n"/>
    </row>
    <row r="81">
      <c r="A81" s="31" t="n"/>
      <c r="B81" s="29" t="n"/>
      <c r="C81" s="29" t="n"/>
      <c r="D81" s="29" t="n"/>
      <c r="E81" s="29" t="n"/>
      <c r="F81" s="29" t="n"/>
    </row>
    <row r="82">
      <c r="A82" s="31" t="n"/>
      <c r="B82" s="29" t="n"/>
      <c r="C82" s="29" t="n"/>
      <c r="D82" s="29" t="n"/>
      <c r="E82" s="29" t="n"/>
      <c r="F82" s="29" t="n"/>
    </row>
    <row r="83">
      <c r="A83" s="31" t="n"/>
      <c r="B83" s="29" t="n"/>
      <c r="C83" s="29" t="n"/>
      <c r="D83" s="29" t="n"/>
      <c r="E83" s="29" t="n"/>
      <c r="F83" s="29" t="n"/>
    </row>
    <row r="84">
      <c r="A84" s="31" t="n"/>
      <c r="B84" s="29" t="n"/>
      <c r="C84" s="29" t="n"/>
      <c r="D84" s="29" t="n"/>
      <c r="E84" s="29" t="n"/>
      <c r="F84" s="29" t="n"/>
    </row>
    <row r="85">
      <c r="A85" s="31" t="n"/>
      <c r="B85" s="29" t="n"/>
      <c r="C85" s="29" t="n"/>
      <c r="D85" s="29" t="n"/>
      <c r="E85" s="29" t="n"/>
      <c r="F85" s="29" t="n"/>
    </row>
    <row r="86">
      <c r="A86" s="31" t="n"/>
      <c r="B86" s="29" t="n"/>
      <c r="C86" s="29" t="n"/>
      <c r="D86" s="29" t="n"/>
      <c r="E86" s="29" t="n"/>
      <c r="F86" s="29" t="n"/>
    </row>
    <row r="87">
      <c r="A87" s="31" t="n"/>
      <c r="B87" s="29" t="n"/>
      <c r="C87" s="29" t="n"/>
      <c r="D87" s="29" t="n"/>
      <c r="E87" s="29" t="n"/>
      <c r="F87" s="29" t="n"/>
    </row>
    <row r="88">
      <c r="A88" s="31" t="n"/>
      <c r="B88" s="29" t="n"/>
      <c r="C88" s="29" t="n"/>
      <c r="D88" s="29" t="n"/>
      <c r="E88" s="29" t="n"/>
      <c r="F88" s="29" t="n"/>
    </row>
    <row r="89">
      <c r="A89" s="31" t="n"/>
      <c r="B89" s="29" t="n"/>
      <c r="C89" s="29" t="n"/>
      <c r="D89" s="29" t="n"/>
      <c r="E89" s="29" t="n"/>
      <c r="F89" s="29" t="n"/>
    </row>
    <row r="90">
      <c r="A90" s="31" t="n"/>
      <c r="B90" s="29" t="n"/>
      <c r="C90" s="29" t="n"/>
      <c r="D90" s="29" t="n"/>
      <c r="E90" s="29" t="n"/>
      <c r="F90" s="29" t="n"/>
    </row>
    <row r="91">
      <c r="A91" s="31" t="n"/>
      <c r="B91" s="29" t="n"/>
      <c r="C91" s="29" t="n"/>
      <c r="D91" s="29" t="n"/>
      <c r="E91" s="29" t="n"/>
      <c r="F91" s="29" t="n"/>
    </row>
    <row r="92">
      <c r="A92" s="31" t="n"/>
      <c r="B92" s="29" t="n"/>
      <c r="C92" s="29" t="n"/>
      <c r="D92" s="29" t="n"/>
      <c r="E92" s="29" t="n"/>
      <c r="F92" s="29" t="n"/>
    </row>
    <row r="93">
      <c r="A93" s="31" t="n"/>
      <c r="B93" s="29" t="n"/>
      <c r="C93" s="29" t="n"/>
      <c r="D93" s="29" t="n"/>
      <c r="E93" s="29" t="n"/>
      <c r="F93" s="29" t="n"/>
    </row>
    <row r="94">
      <c r="A94" s="31" t="n"/>
      <c r="B94" s="29" t="n"/>
      <c r="C94" s="29" t="n"/>
      <c r="D94" s="29" t="n"/>
      <c r="E94" s="29" t="n"/>
      <c r="F94" s="29" t="n"/>
    </row>
    <row r="95">
      <c r="A95" s="31" t="n"/>
      <c r="B95" s="29" t="n"/>
      <c r="C95" s="29" t="n"/>
      <c r="D95" s="29" t="n"/>
      <c r="E95" s="29" t="n"/>
      <c r="F95" s="29" t="n"/>
    </row>
    <row r="96">
      <c r="A96" s="31" t="n"/>
      <c r="B96" s="29" t="n"/>
      <c r="C96" s="29" t="n"/>
      <c r="D96" s="29" t="n"/>
      <c r="E96" s="29" t="n"/>
      <c r="F96" s="29" t="n"/>
    </row>
    <row r="97">
      <c r="A97" s="31" t="n"/>
      <c r="B97" s="29" t="n"/>
      <c r="C97" s="29" t="n"/>
      <c r="D97" s="29" t="n"/>
      <c r="E97" s="29" t="n"/>
      <c r="F97" s="29" t="n"/>
    </row>
    <row r="98">
      <c r="A98" s="31" t="n"/>
      <c r="B98" s="29" t="n"/>
      <c r="C98" s="29" t="n"/>
      <c r="D98" s="29" t="n"/>
      <c r="E98" s="29" t="n"/>
      <c r="F98" s="29" t="n"/>
    </row>
    <row r="99">
      <c r="A99" s="31" t="n"/>
      <c r="B99" s="29" t="n"/>
      <c r="C99" s="29" t="n"/>
      <c r="D99" s="29" t="n"/>
      <c r="E99" s="29" t="n"/>
      <c r="F99" s="29" t="n"/>
    </row>
    <row r="100">
      <c r="A100" s="31" t="n"/>
      <c r="B100" s="29" t="n"/>
      <c r="C100" s="29" t="n"/>
      <c r="D100" s="29" t="n"/>
      <c r="E100" s="29" t="n"/>
      <c r="F100" s="29" t="n"/>
    </row>
    <row r="101">
      <c r="A101" s="31" t="n"/>
      <c r="B101" s="29" t="n"/>
      <c r="C101" s="29" t="n"/>
      <c r="D101" s="29" t="n"/>
      <c r="E101" s="29" t="n"/>
      <c r="F101" s="29" t="n"/>
    </row>
    <row r="102">
      <c r="A102" s="31" t="n"/>
      <c r="B102" s="29" t="n"/>
      <c r="C102" s="29" t="n"/>
      <c r="D102" s="29" t="n"/>
      <c r="E102" s="29" t="n"/>
      <c r="F102" s="29" t="n"/>
    </row>
    <row r="103">
      <c r="A103" s="31" t="n"/>
      <c r="B103" s="29" t="n"/>
      <c r="C103" s="29" t="n"/>
      <c r="D103" s="29" t="n"/>
      <c r="E103" s="29" t="n"/>
      <c r="F103" s="29" t="n"/>
    </row>
    <row r="104">
      <c r="A104" s="31" t="n"/>
      <c r="B104" s="29" t="n"/>
      <c r="C104" s="29" t="n"/>
      <c r="D104" s="29" t="n"/>
      <c r="E104" s="29" t="n"/>
      <c r="F104" s="29" t="n"/>
    </row>
    <row r="105">
      <c r="A105" s="31" t="n"/>
      <c r="B105" s="29" t="n"/>
      <c r="C105" s="29" t="n"/>
      <c r="D105" s="29" t="n"/>
      <c r="E105" s="29" t="n"/>
      <c r="F105" s="29" t="n"/>
    </row>
    <row r="106">
      <c r="A106" s="31" t="n"/>
      <c r="B106" s="29" t="n"/>
      <c r="C106" s="29" t="n"/>
      <c r="D106" s="29" t="n"/>
      <c r="E106" s="29" t="n"/>
      <c r="F106" s="29" t="n"/>
    </row>
    <row r="107">
      <c r="A107" s="31" t="n"/>
      <c r="B107" s="29" t="n"/>
      <c r="C107" s="29" t="n"/>
      <c r="D107" s="29" t="n"/>
      <c r="E107" s="29" t="n"/>
      <c r="F107" s="29" t="n"/>
    </row>
    <row r="108">
      <c r="A108" s="31" t="n"/>
      <c r="B108" s="29" t="n"/>
      <c r="C108" s="29" t="n"/>
      <c r="D108" s="29" t="n"/>
      <c r="E108" s="29" t="n"/>
      <c r="F108" s="29" t="n"/>
    </row>
    <row r="109">
      <c r="A109" s="31" t="n"/>
      <c r="B109" s="29" t="n"/>
      <c r="C109" s="29" t="n"/>
      <c r="D109" s="29" t="n"/>
      <c r="E109" s="29" t="n"/>
      <c r="F109" s="29" t="n"/>
    </row>
    <row r="110">
      <c r="A110" s="31" t="n"/>
      <c r="B110" s="29" t="n"/>
      <c r="C110" s="29" t="n"/>
      <c r="D110" s="29" t="n"/>
      <c r="E110" s="29" t="n"/>
      <c r="F110" s="29" t="n"/>
    </row>
    <row r="111">
      <c r="A111" s="31" t="n"/>
      <c r="B111" s="29" t="n"/>
      <c r="C111" s="29" t="n"/>
      <c r="D111" s="29" t="n"/>
      <c r="E111" s="29" t="n"/>
      <c r="F111" s="29" t="n"/>
    </row>
    <row r="112">
      <c r="A112" s="31" t="n"/>
      <c r="B112" s="29" t="n"/>
      <c r="C112" s="29" t="n"/>
      <c r="D112" s="29" t="n"/>
      <c r="E112" s="29" t="n"/>
      <c r="F112" s="29" t="n"/>
    </row>
    <row r="113">
      <c r="A113" s="31" t="n"/>
      <c r="B113" s="29" t="n"/>
      <c r="C113" s="29" t="n"/>
      <c r="D113" s="29" t="n"/>
      <c r="E113" s="29" t="n"/>
      <c r="F113" s="29" t="n"/>
    </row>
    <row r="114">
      <c r="A114" s="31" t="n"/>
      <c r="B114" s="29" t="n"/>
      <c r="C114" s="29" t="n"/>
      <c r="D114" s="29" t="n"/>
      <c r="E114" s="29" t="n"/>
      <c r="F114" s="29" t="n"/>
    </row>
    <row r="115">
      <c r="A115" s="31" t="n"/>
      <c r="B115" s="29" t="n"/>
      <c r="C115" s="29" t="n"/>
      <c r="D115" s="29" t="n"/>
      <c r="E115" s="29" t="n"/>
      <c r="F115" s="29" t="n"/>
    </row>
    <row r="116">
      <c r="A116" s="31" t="n"/>
      <c r="B116" s="29" t="n"/>
      <c r="C116" s="29" t="n"/>
      <c r="D116" s="29" t="n"/>
      <c r="E116" s="29" t="n"/>
      <c r="F116" s="29" t="n"/>
    </row>
    <row r="117">
      <c r="A117" s="31" t="n"/>
      <c r="B117" s="29" t="n"/>
      <c r="C117" s="29" t="n"/>
      <c r="D117" s="29" t="n"/>
      <c r="E117" s="29" t="n"/>
      <c r="F117" s="29" t="n"/>
    </row>
    <row r="118">
      <c r="A118" s="31" t="n"/>
      <c r="B118" s="29" t="n"/>
      <c r="C118" s="29" t="n"/>
      <c r="D118" s="29" t="n"/>
      <c r="E118" s="29" t="n"/>
      <c r="F118" s="29" t="n"/>
    </row>
    <row r="119">
      <c r="A119" s="31" t="n"/>
      <c r="B119" s="29" t="n"/>
      <c r="C119" s="29" t="n"/>
      <c r="D119" s="29" t="n"/>
      <c r="E119" s="29" t="n"/>
      <c r="F119" s="29" t="n"/>
    </row>
    <row r="120">
      <c r="A120" s="31" t="n"/>
      <c r="B120" s="29" t="n"/>
      <c r="C120" s="29" t="n"/>
      <c r="D120" s="29" t="n"/>
      <c r="E120" s="29" t="n"/>
      <c r="F120" s="29" t="n"/>
    </row>
    <row r="121">
      <c r="A121" s="31" t="n"/>
      <c r="B121" s="29" t="n"/>
      <c r="C121" s="29" t="n"/>
      <c r="D121" s="29" t="n"/>
      <c r="E121" s="29" t="n"/>
      <c r="F121" s="29" t="n"/>
    </row>
    <row r="122">
      <c r="A122" s="31" t="n"/>
      <c r="B122" s="29" t="n"/>
      <c r="C122" s="29" t="n"/>
      <c r="D122" s="29" t="n"/>
      <c r="E122" s="29" t="n"/>
      <c r="F122" s="29" t="n"/>
    </row>
    <row r="123">
      <c r="A123" s="31" t="n"/>
      <c r="B123" s="29" t="n"/>
      <c r="C123" s="29" t="n"/>
      <c r="D123" s="29" t="n"/>
      <c r="E123" s="29" t="n"/>
      <c r="F123" s="29" t="n"/>
    </row>
    <row r="124">
      <c r="A124" s="31" t="n"/>
      <c r="B124" s="29" t="n"/>
      <c r="C124" s="29" t="n"/>
      <c r="D124" s="29" t="n"/>
      <c r="E124" s="29" t="n"/>
      <c r="F124" s="29" t="n"/>
    </row>
    <row r="125">
      <c r="A125" s="31" t="n"/>
      <c r="B125" s="29" t="n"/>
      <c r="C125" s="29" t="n"/>
      <c r="D125" s="29" t="n"/>
      <c r="E125" s="29" t="n"/>
      <c r="F125" s="29" t="n"/>
    </row>
    <row r="126">
      <c r="A126" s="31" t="n"/>
      <c r="B126" s="29" t="n"/>
      <c r="C126" s="29" t="n"/>
      <c r="D126" s="29" t="n"/>
      <c r="E126" s="29" t="n"/>
      <c r="F126" s="29" t="n"/>
    </row>
    <row r="127">
      <c r="A127" s="31" t="n"/>
      <c r="B127" s="29" t="n"/>
      <c r="C127" s="29" t="n"/>
      <c r="D127" s="29" t="n"/>
      <c r="E127" s="29" t="n"/>
      <c r="F127" s="29" t="n"/>
    </row>
    <row r="128">
      <c r="A128" s="31" t="n"/>
      <c r="B128" s="29" t="n"/>
      <c r="C128" s="29" t="n"/>
      <c r="D128" s="29" t="n"/>
      <c r="E128" s="29" t="n"/>
      <c r="F128" s="29" t="n"/>
    </row>
    <row r="129">
      <c r="A129" s="31" t="n"/>
      <c r="B129" s="29" t="n"/>
      <c r="C129" s="29" t="n"/>
      <c r="D129" s="29" t="n"/>
      <c r="E129" s="29" t="n"/>
      <c r="F129" s="29" t="n"/>
    </row>
    <row r="130">
      <c r="A130" s="31" t="n"/>
      <c r="B130" s="29" t="n"/>
      <c r="C130" s="29" t="n"/>
      <c r="D130" s="29" t="n"/>
      <c r="E130" s="29" t="n"/>
      <c r="F130" s="29" t="n"/>
    </row>
    <row r="131">
      <c r="A131" s="31" t="n"/>
      <c r="B131" s="29" t="n"/>
      <c r="C131" s="29" t="n"/>
      <c r="D131" s="29" t="n"/>
      <c r="E131" s="29" t="n"/>
      <c r="F131" s="29" t="n"/>
    </row>
    <row r="132">
      <c r="A132" s="31" t="n"/>
      <c r="B132" s="29" t="n"/>
      <c r="C132" s="29" t="n"/>
      <c r="D132" s="29" t="n"/>
      <c r="E132" s="29" t="n"/>
      <c r="F132" s="29" t="n"/>
    </row>
    <row r="133">
      <c r="A133" s="31" t="n"/>
      <c r="B133" s="29" t="n"/>
      <c r="C133" s="29" t="n"/>
      <c r="D133" s="29" t="n"/>
      <c r="E133" s="29" t="n"/>
      <c r="F133" s="29" t="n"/>
    </row>
    <row r="134">
      <c r="A134" s="31" t="n"/>
      <c r="B134" s="29" t="n"/>
      <c r="C134" s="29" t="n"/>
      <c r="D134" s="29" t="n"/>
      <c r="E134" s="29" t="n"/>
      <c r="F134" s="29" t="n"/>
    </row>
    <row r="135">
      <c r="A135" s="31" t="n"/>
      <c r="B135" s="29" t="n"/>
      <c r="C135" s="29" t="n"/>
      <c r="D135" s="29" t="n"/>
      <c r="E135" s="29" t="n"/>
      <c r="F135" s="29" t="n"/>
    </row>
    <row r="136">
      <c r="A136" s="31" t="n"/>
      <c r="B136" s="29" t="n"/>
      <c r="C136" s="29" t="n"/>
      <c r="D136" s="29" t="n"/>
      <c r="E136" s="29" t="n"/>
      <c r="F136" s="29" t="n"/>
    </row>
    <row r="137">
      <c r="A137" s="31" t="n"/>
      <c r="B137" s="29" t="n"/>
      <c r="C137" s="29" t="n"/>
      <c r="D137" s="29" t="n"/>
      <c r="E137" s="29" t="n"/>
      <c r="F137" s="29" t="n"/>
    </row>
    <row r="138">
      <c r="A138" s="31" t="n"/>
      <c r="B138" s="29" t="n"/>
      <c r="C138" s="29" t="n"/>
      <c r="D138" s="29" t="n"/>
      <c r="E138" s="29" t="n"/>
      <c r="F138" s="29" t="n"/>
    </row>
    <row r="139">
      <c r="A139" s="31" t="n"/>
      <c r="B139" s="29" t="n"/>
      <c r="C139" s="29" t="n"/>
      <c r="D139" s="29" t="n"/>
      <c r="E139" s="29" t="n"/>
      <c r="F139" s="29" t="n"/>
    </row>
    <row r="140">
      <c r="A140" s="31" t="n"/>
      <c r="B140" s="29" t="n"/>
      <c r="C140" s="29" t="n"/>
      <c r="D140" s="29" t="n"/>
      <c r="E140" s="29" t="n"/>
      <c r="F140" s="29" t="n"/>
    </row>
    <row r="141">
      <c r="A141" s="31" t="n"/>
      <c r="B141" s="29" t="n"/>
      <c r="C141" s="29" t="n"/>
      <c r="D141" s="29" t="n"/>
      <c r="E141" s="29" t="n"/>
      <c r="F141" s="29" t="n"/>
    </row>
    <row r="142">
      <c r="A142" s="31" t="n"/>
      <c r="B142" s="29" t="n"/>
      <c r="C142" s="29" t="n"/>
      <c r="D142" s="29" t="n"/>
      <c r="E142" s="29" t="n"/>
      <c r="F142" s="29" t="n"/>
    </row>
    <row r="143">
      <c r="A143" s="31" t="n"/>
      <c r="B143" s="29" t="n"/>
      <c r="C143" s="29" t="n"/>
      <c r="D143" s="29" t="n"/>
      <c r="E143" s="29" t="n"/>
      <c r="F143" s="29" t="n"/>
    </row>
    <row r="144">
      <c r="A144" s="31" t="n"/>
      <c r="B144" s="29" t="n"/>
      <c r="C144" s="29" t="n"/>
      <c r="D144" s="29" t="n"/>
      <c r="E144" s="29" t="n"/>
      <c r="F144" s="29" t="n"/>
    </row>
    <row r="145">
      <c r="A145" s="31" t="n"/>
      <c r="B145" s="29" t="n"/>
      <c r="C145" s="29" t="n"/>
      <c r="D145" s="29" t="n"/>
      <c r="E145" s="29" t="n"/>
      <c r="F145" s="29" t="n"/>
    </row>
    <row r="146">
      <c r="A146" s="31" t="n"/>
      <c r="B146" s="29" t="n"/>
      <c r="C146" s="29" t="n"/>
      <c r="D146" s="29" t="n"/>
      <c r="E146" s="29" t="n"/>
      <c r="F146" s="29" t="n"/>
    </row>
    <row r="147">
      <c r="A147" s="31" t="n"/>
      <c r="B147" s="29" t="n"/>
      <c r="C147" s="29" t="n"/>
      <c r="D147" s="29" t="n"/>
      <c r="E147" s="29" t="n"/>
      <c r="F147" s="29" t="n"/>
    </row>
    <row r="148">
      <c r="A148" s="31" t="n"/>
      <c r="B148" s="29" t="n"/>
      <c r="C148" s="29" t="n"/>
      <c r="D148" s="29" t="n"/>
      <c r="E148" s="29" t="n"/>
      <c r="F148" s="29" t="n"/>
    </row>
    <row r="149">
      <c r="A149" s="31" t="n"/>
      <c r="B149" s="29" t="n"/>
      <c r="C149" s="29" t="n"/>
      <c r="D149" s="29" t="n"/>
      <c r="E149" s="29" t="n"/>
      <c r="F149" s="29" t="n"/>
    </row>
    <row r="150">
      <c r="A150" s="31" t="n"/>
      <c r="B150" s="29" t="n"/>
      <c r="C150" s="29" t="n"/>
      <c r="D150" s="29" t="n"/>
      <c r="E150" s="29" t="n"/>
      <c r="F150" s="29" t="n"/>
    </row>
    <row r="151">
      <c r="A151" s="31" t="n"/>
      <c r="B151" s="29" t="n"/>
      <c r="C151" s="29" t="n"/>
      <c r="D151" s="29" t="n"/>
      <c r="E151" s="29" t="n"/>
      <c r="F151" s="29" t="n"/>
    </row>
    <row r="152">
      <c r="A152" s="31" t="n"/>
      <c r="B152" s="29" t="n"/>
      <c r="C152" s="29" t="n"/>
      <c r="D152" s="29" t="n"/>
      <c r="E152" s="29" t="n"/>
      <c r="F152" s="29" t="n"/>
    </row>
    <row r="153">
      <c r="A153" s="31" t="n"/>
      <c r="B153" s="29" t="n"/>
      <c r="C153" s="29" t="n"/>
      <c r="D153" s="29" t="n"/>
      <c r="E153" s="29" t="n"/>
      <c r="F153" s="29" t="n"/>
    </row>
    <row r="154">
      <c r="A154" s="31" t="n"/>
      <c r="B154" s="29" t="n"/>
      <c r="C154" s="29" t="n"/>
      <c r="D154" s="29" t="n"/>
      <c r="E154" s="29" t="n"/>
      <c r="F154" s="29" t="n"/>
    </row>
    <row r="155">
      <c r="A155" s="31" t="n"/>
      <c r="B155" s="29" t="n"/>
      <c r="C155" s="29" t="n"/>
      <c r="D155" s="29" t="n"/>
      <c r="E155" s="29" t="n"/>
      <c r="F155" s="29" t="n"/>
    </row>
    <row r="156">
      <c r="A156" s="31" t="n"/>
      <c r="B156" s="29" t="n"/>
      <c r="C156" s="29" t="n"/>
      <c r="D156" s="29" t="n"/>
      <c r="E156" s="29" t="n"/>
      <c r="F156" s="29" t="n"/>
    </row>
    <row r="157">
      <c r="A157" s="31" t="n"/>
      <c r="B157" s="29" t="n"/>
      <c r="C157" s="29" t="n"/>
      <c r="D157" s="29" t="n"/>
      <c r="E157" s="29" t="n"/>
      <c r="F157" s="29" t="n"/>
    </row>
    <row r="158">
      <c r="A158" s="31" t="n"/>
      <c r="B158" s="29" t="n"/>
      <c r="C158" s="29" t="n"/>
      <c r="D158" s="29" t="n"/>
      <c r="E158" s="29" t="n"/>
      <c r="F158" s="29" t="n"/>
    </row>
    <row r="159">
      <c r="A159" s="31" t="n"/>
      <c r="B159" s="29" t="n"/>
      <c r="C159" s="29" t="n"/>
      <c r="D159" s="29" t="n"/>
      <c r="E159" s="29" t="n"/>
      <c r="F159" s="29" t="n"/>
    </row>
    <row r="160">
      <c r="A160" s="31" t="n"/>
      <c r="B160" s="29" t="n"/>
      <c r="C160" s="29" t="n"/>
      <c r="D160" s="29" t="n"/>
      <c r="E160" s="29" t="n"/>
      <c r="F160" s="29" t="n"/>
    </row>
    <row r="161">
      <c r="A161" s="31" t="n"/>
      <c r="B161" s="29" t="n"/>
      <c r="C161" s="29" t="n"/>
      <c r="D161" s="29" t="n"/>
      <c r="E161" s="29" t="n"/>
      <c r="F161" s="29" t="n"/>
    </row>
    <row r="162">
      <c r="A162" s="31" t="n"/>
      <c r="B162" s="29" t="n"/>
      <c r="C162" s="29" t="n"/>
      <c r="D162" s="29" t="n"/>
      <c r="E162" s="29" t="n"/>
      <c r="F162" s="29" t="n"/>
    </row>
    <row r="163">
      <c r="A163" s="31" t="n"/>
      <c r="B163" s="29" t="n"/>
      <c r="C163" s="29" t="n"/>
      <c r="D163" s="29" t="n"/>
      <c r="E163" s="29" t="n"/>
      <c r="F163" s="29" t="n"/>
    </row>
    <row r="164">
      <c r="A164" s="31" t="n"/>
      <c r="B164" s="29" t="n"/>
      <c r="C164" s="29" t="n"/>
      <c r="D164" s="29" t="n"/>
      <c r="E164" s="29" t="n"/>
      <c r="F164" s="29" t="n"/>
    </row>
    <row r="165">
      <c r="A165" s="31" t="n"/>
      <c r="B165" s="29" t="n"/>
      <c r="C165" s="29" t="n"/>
      <c r="D165" s="29" t="n"/>
      <c r="E165" s="29" t="n"/>
      <c r="F165" s="29" t="n"/>
    </row>
    <row r="166">
      <c r="A166" s="31" t="n"/>
      <c r="B166" s="29" t="n"/>
      <c r="C166" s="29" t="n"/>
      <c r="D166" s="29" t="n"/>
      <c r="E166" s="29" t="n"/>
      <c r="F166" s="29" t="n"/>
    </row>
    <row r="167">
      <c r="A167" s="31" t="n"/>
      <c r="B167" s="29" t="n"/>
      <c r="C167" s="29" t="n"/>
      <c r="D167" s="29" t="n"/>
      <c r="E167" s="29" t="n"/>
      <c r="F167" s="29" t="n"/>
    </row>
    <row r="168">
      <c r="A168" s="31" t="n"/>
      <c r="B168" s="29" t="n"/>
      <c r="C168" s="29" t="n"/>
      <c r="D168" s="29" t="n"/>
      <c r="E168" s="29" t="n"/>
      <c r="F168" s="29" t="n"/>
    </row>
    <row r="169">
      <c r="A169" s="31" t="n"/>
      <c r="B169" s="29" t="n"/>
      <c r="C169" s="29" t="n"/>
      <c r="D169" s="29" t="n"/>
      <c r="E169" s="29" t="n"/>
      <c r="F169" s="29" t="n"/>
    </row>
    <row r="170">
      <c r="A170" s="31" t="n"/>
      <c r="B170" s="29" t="n"/>
      <c r="C170" s="29" t="n"/>
      <c r="D170" s="29" t="n"/>
      <c r="E170" s="29" t="n"/>
      <c r="F170" s="29" t="n"/>
    </row>
    <row r="171">
      <c r="A171" s="31" t="n"/>
      <c r="B171" s="29" t="n"/>
      <c r="C171" s="29" t="n"/>
      <c r="D171" s="29" t="n"/>
      <c r="E171" s="29" t="n"/>
      <c r="F171" s="29" t="n"/>
    </row>
    <row r="172">
      <c r="A172" s="31" t="n"/>
      <c r="B172" s="29" t="n"/>
      <c r="C172" s="29" t="n"/>
      <c r="D172" s="29" t="n"/>
      <c r="E172" s="29" t="n"/>
      <c r="F172" s="29" t="n"/>
    </row>
    <row r="173">
      <c r="A173" s="31" t="n"/>
      <c r="B173" s="29" t="n"/>
      <c r="C173" s="29" t="n"/>
      <c r="D173" s="29" t="n"/>
      <c r="E173" s="29" t="n"/>
      <c r="F173" s="29" t="n"/>
    </row>
    <row r="174">
      <c r="A174" s="31" t="n"/>
      <c r="B174" s="29" t="n"/>
      <c r="C174" s="29" t="n"/>
      <c r="D174" s="29" t="n"/>
      <c r="E174" s="29" t="n"/>
      <c r="F174" s="29" t="n"/>
    </row>
    <row r="175">
      <c r="A175" s="31" t="n"/>
      <c r="B175" s="29" t="n"/>
      <c r="C175" s="29" t="n"/>
      <c r="D175" s="29" t="n"/>
      <c r="E175" s="29" t="n"/>
      <c r="F175" s="29" t="n"/>
    </row>
    <row r="176">
      <c r="A176" s="31" t="n"/>
      <c r="B176" s="29" t="n"/>
      <c r="C176" s="29" t="n"/>
      <c r="D176" s="29" t="n"/>
      <c r="E176" s="29" t="n"/>
      <c r="F176" s="29" t="n"/>
    </row>
    <row r="177">
      <c r="A177" s="31" t="n"/>
      <c r="B177" s="29" t="n"/>
      <c r="C177" s="29" t="n"/>
      <c r="D177" s="29" t="n"/>
      <c r="E177" s="29" t="n"/>
      <c r="F177" s="29" t="n"/>
    </row>
    <row r="178">
      <c r="A178" s="31" t="n"/>
      <c r="B178" s="29" t="n"/>
      <c r="C178" s="29" t="n"/>
      <c r="D178" s="29" t="n"/>
      <c r="E178" s="29" t="n"/>
      <c r="F178" s="29" t="n"/>
    </row>
    <row r="179">
      <c r="A179" s="31" t="n"/>
      <c r="B179" s="29" t="n"/>
      <c r="C179" s="29" t="n"/>
      <c r="D179" s="29" t="n"/>
      <c r="E179" s="29" t="n"/>
      <c r="F179" s="29" t="n"/>
    </row>
    <row r="180">
      <c r="A180" s="31" t="n"/>
      <c r="B180" s="29" t="n"/>
      <c r="C180" s="29" t="n"/>
      <c r="D180" s="29" t="n"/>
      <c r="E180" s="29" t="n"/>
      <c r="F180" s="29" t="n"/>
    </row>
    <row r="181">
      <c r="A181" s="31" t="n"/>
      <c r="B181" s="29" t="n"/>
      <c r="C181" s="29" t="n"/>
      <c r="D181" s="29" t="n"/>
      <c r="E181" s="29" t="n"/>
      <c r="F181" s="29" t="n"/>
    </row>
    <row r="182">
      <c r="A182" s="31" t="n"/>
      <c r="B182" s="29" t="n"/>
      <c r="C182" s="29" t="n"/>
      <c r="D182" s="29" t="n"/>
      <c r="E182" s="29" t="n"/>
      <c r="F182" s="29" t="n"/>
    </row>
    <row r="183">
      <c r="A183" s="31" t="n"/>
      <c r="B183" s="29" t="n"/>
      <c r="C183" s="29" t="n"/>
      <c r="D183" s="29" t="n"/>
      <c r="E183" s="29" t="n"/>
      <c r="F183" s="29" t="n"/>
    </row>
    <row r="184">
      <c r="A184" s="31" t="n"/>
      <c r="B184" s="29" t="n"/>
      <c r="C184" s="29" t="n"/>
      <c r="D184" s="29" t="n"/>
      <c r="E184" s="29" t="n"/>
      <c r="F184" s="29" t="n"/>
    </row>
    <row r="185">
      <c r="A185" s="31" t="n"/>
      <c r="B185" s="29" t="n"/>
      <c r="C185" s="29" t="n"/>
      <c r="D185" s="29" t="n"/>
      <c r="E185" s="29" t="n"/>
      <c r="F185" s="29" t="n"/>
    </row>
    <row r="186">
      <c r="A186" s="31" t="n"/>
      <c r="B186" s="29" t="n"/>
      <c r="C186" s="29" t="n"/>
      <c r="D186" s="29" t="n"/>
      <c r="E186" s="29" t="n"/>
      <c r="F186" s="29" t="n"/>
    </row>
    <row r="187">
      <c r="A187" s="31" t="n"/>
      <c r="B187" s="29" t="n"/>
      <c r="C187" s="29" t="n"/>
      <c r="D187" s="29" t="n"/>
      <c r="E187" s="29" t="n"/>
      <c r="F187" s="29" t="n"/>
    </row>
    <row r="188">
      <c r="A188" s="31" t="n"/>
      <c r="B188" s="29" t="n"/>
      <c r="C188" s="29" t="n"/>
      <c r="D188" s="29" t="n"/>
      <c r="E188" s="29" t="n"/>
      <c r="F188" s="29" t="n"/>
    </row>
    <row r="189">
      <c r="A189" s="31" t="n"/>
      <c r="B189" s="29" t="n"/>
      <c r="C189" s="29" t="n"/>
      <c r="D189" s="29" t="n"/>
      <c r="E189" s="29" t="n"/>
      <c r="F189" s="29" t="n"/>
    </row>
    <row r="190">
      <c r="A190" s="31" t="n"/>
      <c r="B190" s="29" t="n"/>
      <c r="C190" s="29" t="n"/>
      <c r="D190" s="29" t="n"/>
      <c r="E190" s="29" t="n"/>
      <c r="F190" s="29" t="n"/>
    </row>
    <row r="191">
      <c r="A191" s="31" t="n"/>
      <c r="B191" s="29" t="n"/>
      <c r="C191" s="29" t="n"/>
      <c r="D191" s="29" t="n"/>
      <c r="E191" s="29" t="n"/>
      <c r="F191" s="29" t="n"/>
    </row>
    <row r="192">
      <c r="A192" s="31" t="n"/>
      <c r="B192" s="29" t="n"/>
      <c r="C192" s="29" t="n"/>
      <c r="D192" s="29" t="n"/>
      <c r="E192" s="29" t="n"/>
      <c r="F192" s="29" t="n"/>
    </row>
    <row r="193">
      <c r="A193" s="31" t="n"/>
      <c r="B193" s="29" t="n"/>
      <c r="C193" s="29" t="n"/>
      <c r="D193" s="29" t="n"/>
      <c r="E193" s="29" t="n"/>
      <c r="F193" s="29" t="n"/>
    </row>
    <row r="194">
      <c r="A194" s="31" t="n"/>
      <c r="B194" s="29" t="n"/>
      <c r="C194" s="29" t="n"/>
      <c r="D194" s="29" t="n"/>
      <c r="E194" s="29" t="n"/>
      <c r="F194" s="29" t="n"/>
    </row>
    <row r="195">
      <c r="A195" s="31" t="n"/>
      <c r="B195" s="29" t="n"/>
      <c r="C195" s="29" t="n"/>
      <c r="D195" s="29" t="n"/>
      <c r="E195" s="29" t="n"/>
      <c r="F195" s="29" t="n"/>
    </row>
    <row r="196">
      <c r="A196" s="31" t="n"/>
      <c r="B196" s="29" t="n"/>
      <c r="C196" s="29" t="n"/>
      <c r="D196" s="29" t="n"/>
      <c r="E196" s="29" t="n"/>
      <c r="F196" s="29" t="n"/>
    </row>
    <row r="197">
      <c r="A197" s="31" t="n"/>
      <c r="B197" s="29" t="n"/>
      <c r="C197" s="29" t="n"/>
      <c r="D197" s="29" t="n"/>
      <c r="E197" s="29" t="n"/>
      <c r="F197" s="29" t="n"/>
    </row>
    <row r="198">
      <c r="A198" s="31" t="n"/>
      <c r="B198" s="29" t="n"/>
      <c r="C198" s="29" t="n"/>
      <c r="D198" s="29" t="n"/>
      <c r="E198" s="29" t="n"/>
      <c r="F198" s="29" t="n"/>
    </row>
    <row r="199">
      <c r="A199" s="31" t="n"/>
      <c r="B199" s="29" t="n"/>
      <c r="C199" s="29" t="n"/>
      <c r="D199" s="29" t="n"/>
      <c r="E199" s="29" t="n"/>
      <c r="F199" s="29" t="n"/>
    </row>
    <row r="200">
      <c r="A200" s="31" t="n"/>
      <c r="B200" s="29" t="n"/>
      <c r="C200" s="29" t="n"/>
      <c r="D200" s="29" t="n"/>
      <c r="E200" s="29" t="n"/>
      <c r="F200" s="29" t="n"/>
    </row>
    <row r="201">
      <c r="A201" s="31" t="n"/>
      <c r="B201" s="29" t="n"/>
      <c r="C201" s="29" t="n"/>
      <c r="D201" s="29" t="n"/>
      <c r="E201" s="29" t="n"/>
      <c r="F201" s="29" t="n"/>
    </row>
    <row r="202">
      <c r="A202" s="31" t="n"/>
      <c r="B202" s="29" t="n"/>
      <c r="C202" s="29" t="n"/>
      <c r="D202" s="29" t="n"/>
      <c r="E202" s="29" t="n"/>
      <c r="F202" s="29" t="n"/>
    </row>
    <row r="203">
      <c r="A203" s="31" t="n"/>
      <c r="B203" s="29" t="n"/>
      <c r="C203" s="29" t="n"/>
      <c r="D203" s="29" t="n"/>
      <c r="E203" s="29" t="n"/>
      <c r="F203" s="29" t="n"/>
    </row>
    <row r="204">
      <c r="A204" s="31" t="n"/>
      <c r="B204" s="29" t="n"/>
      <c r="C204" s="29" t="n"/>
      <c r="D204" s="29" t="n"/>
      <c r="E204" s="29" t="n"/>
      <c r="F204" s="29" t="n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28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Sécurité chantier</t>
        </is>
      </c>
    </row>
    <row r="2">
      <c r="A2" s="2" t="inlineStr">
        <is>
          <t>Saisir les incidents sécurité, manquements et mesures prises.</t>
        </is>
      </c>
    </row>
    <row r="4" ht="22" customHeight="1">
      <c r="A4" s="28" t="inlineStr">
        <is>
          <t>Date</t>
        </is>
      </c>
      <c r="B4" s="28" t="inlineStr">
        <is>
          <t>Type sécurité</t>
        </is>
      </c>
      <c r="C4" s="28" t="inlineStr">
        <is>
          <t>Description</t>
        </is>
      </c>
      <c r="D4" s="28" t="inlineStr">
        <is>
          <t>Mesures prises</t>
        </is>
      </c>
      <c r="E4" s="28" t="inlineStr">
        <is>
          <t>EPI disponibles</t>
        </is>
      </c>
      <c r="F4" s="28" t="inlineStr">
        <is>
          <t>Responsable</t>
        </is>
      </c>
      <c r="G4" s="28" t="inlineStr">
        <is>
          <t>Statut</t>
        </is>
      </c>
    </row>
    <row r="5">
      <c r="A5" s="31" t="n">
        <v>46057</v>
      </c>
      <c r="B5" s="29" t="inlineStr">
        <is>
          <t>EPI manquant</t>
        </is>
      </c>
      <c r="C5" s="29" t="inlineStr">
        <is>
          <t>2 ouvriers sans gants à l'ouverture du site</t>
        </is>
      </c>
      <c r="D5" s="29" t="inlineStr">
        <is>
          <t>Rappel consignes + distribution EPI</t>
        </is>
      </c>
      <c r="E5" s="29" t="inlineStr">
        <is>
          <t>Casques, gants, bottes</t>
        </is>
      </c>
      <c r="F5" s="29" t="inlineStr">
        <is>
          <t>Chef de chantier</t>
        </is>
      </c>
      <c r="G5" s="29" t="inlineStr">
        <is>
          <t>Traité</t>
        </is>
      </c>
    </row>
    <row r="6">
      <c r="A6" s="31" t="n">
        <v>46074</v>
      </c>
      <c r="B6" s="29" t="inlineStr">
        <is>
          <t>Non-respect consigne</t>
        </is>
      </c>
      <c r="C6" s="29" t="inlineStr">
        <is>
          <t>Zone coulage encombrée</t>
        </is>
      </c>
      <c r="D6" s="29" t="inlineStr">
        <is>
          <t>Nettoyage immédiat + balisage</t>
        </is>
      </c>
      <c r="E6" s="29" t="inlineStr">
        <is>
          <t>Casques, bottes</t>
        </is>
      </c>
      <c r="F6" s="29" t="inlineStr">
        <is>
          <t>Chef de chantier</t>
        </is>
      </c>
      <c r="G6" s="29" t="inlineStr">
        <is>
          <t>Traité</t>
        </is>
      </c>
    </row>
    <row r="7">
      <c r="A7" s="31" t="n">
        <v>46094</v>
      </c>
      <c r="B7" s="29" t="inlineStr">
        <is>
          <t>Quasi-accident</t>
        </is>
      </c>
      <c r="C7" s="29" t="inlineStr">
        <is>
          <t>Glissade sans blessure près de la zone humide</t>
        </is>
      </c>
      <c r="D7" s="29" t="inlineStr">
        <is>
          <t>Ajout sable sec + signalisation</t>
        </is>
      </c>
      <c r="E7" s="29" t="inlineStr">
        <is>
          <t>Casques, gants, bottes, gilets</t>
        </is>
      </c>
      <c r="F7" s="29" t="inlineStr">
        <is>
          <t>Conducteur travaux</t>
        </is>
      </c>
      <c r="G7" s="29" t="inlineStr">
        <is>
          <t>Traité</t>
        </is>
      </c>
    </row>
    <row r="8">
      <c r="A8" s="31" t="n"/>
      <c r="B8" s="29" t="n"/>
      <c r="C8" s="29" t="n"/>
      <c r="D8" s="29" t="n"/>
      <c r="E8" s="29" t="n"/>
      <c r="F8" s="29" t="n"/>
      <c r="G8" s="29" t="n"/>
    </row>
    <row r="9">
      <c r="A9" s="31" t="n"/>
      <c r="B9" s="29" t="n"/>
      <c r="C9" s="29" t="n"/>
      <c r="D9" s="29" t="n"/>
      <c r="E9" s="29" t="n"/>
      <c r="F9" s="29" t="n"/>
      <c r="G9" s="29" t="n"/>
    </row>
    <row r="10">
      <c r="A10" s="31" t="n"/>
      <c r="B10" s="29" t="n"/>
      <c r="C10" s="29" t="n"/>
      <c r="D10" s="29" t="n"/>
      <c r="E10" s="29" t="n"/>
      <c r="F10" s="29" t="n"/>
      <c r="G10" s="29" t="n"/>
    </row>
    <row r="11">
      <c r="A11" s="31" t="n"/>
      <c r="B11" s="29" t="n"/>
      <c r="C11" s="29" t="n"/>
      <c r="D11" s="29" t="n"/>
      <c r="E11" s="29" t="n"/>
      <c r="F11" s="29" t="n"/>
      <c r="G11" s="29" t="n"/>
    </row>
    <row r="12">
      <c r="A12" s="31" t="n"/>
      <c r="B12" s="29" t="n"/>
      <c r="C12" s="29" t="n"/>
      <c r="D12" s="29" t="n"/>
      <c r="E12" s="29" t="n"/>
      <c r="F12" s="29" t="n"/>
      <c r="G12" s="29" t="n"/>
    </row>
    <row r="13">
      <c r="A13" s="31" t="n"/>
      <c r="B13" s="29" t="n"/>
      <c r="C13" s="29" t="n"/>
      <c r="D13" s="29" t="n"/>
      <c r="E13" s="29" t="n"/>
      <c r="F13" s="29" t="n"/>
      <c r="G13" s="29" t="n"/>
    </row>
    <row r="14">
      <c r="A14" s="31" t="n"/>
      <c r="B14" s="29" t="n"/>
      <c r="C14" s="29" t="n"/>
      <c r="D14" s="29" t="n"/>
      <c r="E14" s="29" t="n"/>
      <c r="F14" s="29" t="n"/>
      <c r="G14" s="29" t="n"/>
    </row>
    <row r="15">
      <c r="A15" s="31" t="n"/>
      <c r="B15" s="29" t="n"/>
      <c r="C15" s="29" t="n"/>
      <c r="D15" s="29" t="n"/>
      <c r="E15" s="29" t="n"/>
      <c r="F15" s="29" t="n"/>
      <c r="G15" s="29" t="n"/>
    </row>
    <row r="16">
      <c r="A16" s="31" t="n"/>
      <c r="B16" s="29" t="n"/>
      <c r="C16" s="29" t="n"/>
      <c r="D16" s="29" t="n"/>
      <c r="E16" s="29" t="n"/>
      <c r="F16" s="29" t="n"/>
      <c r="G16" s="29" t="n"/>
    </row>
    <row r="17">
      <c r="A17" s="31" t="n"/>
      <c r="B17" s="29" t="n"/>
      <c r="C17" s="29" t="n"/>
      <c r="D17" s="29" t="n"/>
      <c r="E17" s="29" t="n"/>
      <c r="F17" s="29" t="n"/>
      <c r="G17" s="29" t="n"/>
    </row>
    <row r="18">
      <c r="A18" s="31" t="n"/>
      <c r="B18" s="29" t="n"/>
      <c r="C18" s="29" t="n"/>
      <c r="D18" s="29" t="n"/>
      <c r="E18" s="29" t="n"/>
      <c r="F18" s="29" t="n"/>
      <c r="G18" s="29" t="n"/>
    </row>
    <row r="19">
      <c r="A19" s="31" t="n"/>
      <c r="B19" s="29" t="n"/>
      <c r="C19" s="29" t="n"/>
      <c r="D19" s="29" t="n"/>
      <c r="E19" s="29" t="n"/>
      <c r="F19" s="29" t="n"/>
      <c r="G19" s="29" t="n"/>
    </row>
    <row r="20">
      <c r="A20" s="31" t="n"/>
      <c r="B20" s="29" t="n"/>
      <c r="C20" s="29" t="n"/>
      <c r="D20" s="29" t="n"/>
      <c r="E20" s="29" t="n"/>
      <c r="F20" s="29" t="n"/>
      <c r="G20" s="29" t="n"/>
    </row>
    <row r="21">
      <c r="A21" s="31" t="n"/>
      <c r="B21" s="29" t="n"/>
      <c r="C21" s="29" t="n"/>
      <c r="D21" s="29" t="n"/>
      <c r="E21" s="29" t="n"/>
      <c r="F21" s="29" t="n"/>
      <c r="G21" s="29" t="n"/>
    </row>
    <row r="22">
      <c r="A22" s="31" t="n"/>
      <c r="B22" s="29" t="n"/>
      <c r="C22" s="29" t="n"/>
      <c r="D22" s="29" t="n"/>
      <c r="E22" s="29" t="n"/>
      <c r="F22" s="29" t="n"/>
      <c r="G22" s="29" t="n"/>
    </row>
    <row r="23">
      <c r="A23" s="31" t="n"/>
      <c r="B23" s="29" t="n"/>
      <c r="C23" s="29" t="n"/>
      <c r="D23" s="29" t="n"/>
      <c r="E23" s="29" t="n"/>
      <c r="F23" s="29" t="n"/>
      <c r="G23" s="29" t="n"/>
    </row>
    <row r="24">
      <c r="A24" s="31" t="n"/>
      <c r="B24" s="29" t="n"/>
      <c r="C24" s="29" t="n"/>
      <c r="D24" s="29" t="n"/>
      <c r="E24" s="29" t="n"/>
      <c r="F24" s="29" t="n"/>
      <c r="G24" s="29" t="n"/>
    </row>
    <row r="25">
      <c r="A25" s="31" t="n"/>
      <c r="B25" s="29" t="n"/>
      <c r="C25" s="29" t="n"/>
      <c r="D25" s="29" t="n"/>
      <c r="E25" s="29" t="n"/>
      <c r="F25" s="29" t="n"/>
      <c r="G25" s="29" t="n"/>
    </row>
    <row r="26">
      <c r="A26" s="31" t="n"/>
      <c r="B26" s="29" t="n"/>
      <c r="C26" s="29" t="n"/>
      <c r="D26" s="29" t="n"/>
      <c r="E26" s="29" t="n"/>
      <c r="F26" s="29" t="n"/>
      <c r="G26" s="29" t="n"/>
    </row>
    <row r="27">
      <c r="A27" s="31" t="n"/>
      <c r="B27" s="29" t="n"/>
      <c r="C27" s="29" t="n"/>
      <c r="D27" s="29" t="n"/>
      <c r="E27" s="29" t="n"/>
      <c r="F27" s="29" t="n"/>
      <c r="G27" s="29" t="n"/>
    </row>
    <row r="28">
      <c r="A28" s="31" t="n"/>
      <c r="B28" s="29" t="n"/>
      <c r="C28" s="29" t="n"/>
      <c r="D28" s="29" t="n"/>
      <c r="E28" s="29" t="n"/>
      <c r="F28" s="29" t="n"/>
      <c r="G28" s="29" t="n"/>
    </row>
    <row r="29">
      <c r="A29" s="31" t="n"/>
      <c r="B29" s="29" t="n"/>
      <c r="C29" s="29" t="n"/>
      <c r="D29" s="29" t="n"/>
      <c r="E29" s="29" t="n"/>
      <c r="F29" s="29" t="n"/>
      <c r="G29" s="29" t="n"/>
    </row>
    <row r="30">
      <c r="A30" s="31" t="n"/>
      <c r="B30" s="29" t="n"/>
      <c r="C30" s="29" t="n"/>
      <c r="D30" s="29" t="n"/>
      <c r="E30" s="29" t="n"/>
      <c r="F30" s="29" t="n"/>
      <c r="G30" s="29" t="n"/>
    </row>
    <row r="31">
      <c r="A31" s="31" t="n"/>
      <c r="B31" s="29" t="n"/>
      <c r="C31" s="29" t="n"/>
      <c r="D31" s="29" t="n"/>
      <c r="E31" s="29" t="n"/>
      <c r="F31" s="29" t="n"/>
      <c r="G31" s="29" t="n"/>
    </row>
    <row r="32">
      <c r="A32" s="31" t="n"/>
      <c r="B32" s="29" t="n"/>
      <c r="C32" s="29" t="n"/>
      <c r="D32" s="29" t="n"/>
      <c r="E32" s="29" t="n"/>
      <c r="F32" s="29" t="n"/>
      <c r="G32" s="29" t="n"/>
    </row>
    <row r="33">
      <c r="A33" s="31" t="n"/>
      <c r="B33" s="29" t="n"/>
      <c r="C33" s="29" t="n"/>
      <c r="D33" s="29" t="n"/>
      <c r="E33" s="29" t="n"/>
      <c r="F33" s="29" t="n"/>
      <c r="G33" s="29" t="n"/>
    </row>
    <row r="34">
      <c r="A34" s="31" t="n"/>
      <c r="B34" s="29" t="n"/>
      <c r="C34" s="29" t="n"/>
      <c r="D34" s="29" t="n"/>
      <c r="E34" s="29" t="n"/>
      <c r="F34" s="29" t="n"/>
      <c r="G34" s="29" t="n"/>
    </row>
    <row r="35">
      <c r="A35" s="31" t="n"/>
      <c r="B35" s="29" t="n"/>
      <c r="C35" s="29" t="n"/>
      <c r="D35" s="29" t="n"/>
      <c r="E35" s="29" t="n"/>
      <c r="F35" s="29" t="n"/>
      <c r="G35" s="29" t="n"/>
    </row>
    <row r="36">
      <c r="A36" s="31" t="n"/>
      <c r="B36" s="29" t="n"/>
      <c r="C36" s="29" t="n"/>
      <c r="D36" s="29" t="n"/>
      <c r="E36" s="29" t="n"/>
      <c r="F36" s="29" t="n"/>
      <c r="G36" s="29" t="n"/>
    </row>
    <row r="37">
      <c r="A37" s="31" t="n"/>
      <c r="B37" s="29" t="n"/>
      <c r="C37" s="29" t="n"/>
      <c r="D37" s="29" t="n"/>
      <c r="E37" s="29" t="n"/>
      <c r="F37" s="29" t="n"/>
      <c r="G37" s="29" t="n"/>
    </row>
    <row r="38">
      <c r="A38" s="31" t="n"/>
      <c r="B38" s="29" t="n"/>
      <c r="C38" s="29" t="n"/>
      <c r="D38" s="29" t="n"/>
      <c r="E38" s="29" t="n"/>
      <c r="F38" s="29" t="n"/>
      <c r="G38" s="29" t="n"/>
    </row>
    <row r="39">
      <c r="A39" s="31" t="n"/>
      <c r="B39" s="29" t="n"/>
      <c r="C39" s="29" t="n"/>
      <c r="D39" s="29" t="n"/>
      <c r="E39" s="29" t="n"/>
      <c r="F39" s="29" t="n"/>
      <c r="G39" s="29" t="n"/>
    </row>
    <row r="40">
      <c r="A40" s="31" t="n"/>
      <c r="B40" s="29" t="n"/>
      <c r="C40" s="29" t="n"/>
      <c r="D40" s="29" t="n"/>
      <c r="E40" s="29" t="n"/>
      <c r="F40" s="29" t="n"/>
      <c r="G40" s="29" t="n"/>
    </row>
    <row r="41">
      <c r="A41" s="31" t="n"/>
      <c r="B41" s="29" t="n"/>
      <c r="C41" s="29" t="n"/>
      <c r="D41" s="29" t="n"/>
      <c r="E41" s="29" t="n"/>
      <c r="F41" s="29" t="n"/>
      <c r="G41" s="29" t="n"/>
    </row>
    <row r="42">
      <c r="A42" s="31" t="n"/>
      <c r="B42" s="29" t="n"/>
      <c r="C42" s="29" t="n"/>
      <c r="D42" s="29" t="n"/>
      <c r="E42" s="29" t="n"/>
      <c r="F42" s="29" t="n"/>
      <c r="G42" s="29" t="n"/>
    </row>
    <row r="43">
      <c r="A43" s="31" t="n"/>
      <c r="B43" s="29" t="n"/>
      <c r="C43" s="29" t="n"/>
      <c r="D43" s="29" t="n"/>
      <c r="E43" s="29" t="n"/>
      <c r="F43" s="29" t="n"/>
      <c r="G43" s="29" t="n"/>
    </row>
    <row r="44">
      <c r="A44" s="31" t="n"/>
      <c r="B44" s="29" t="n"/>
      <c r="C44" s="29" t="n"/>
      <c r="D44" s="29" t="n"/>
      <c r="E44" s="29" t="n"/>
      <c r="F44" s="29" t="n"/>
      <c r="G44" s="29" t="n"/>
    </row>
    <row r="45">
      <c r="A45" s="31" t="n"/>
      <c r="B45" s="29" t="n"/>
      <c r="C45" s="29" t="n"/>
      <c r="D45" s="29" t="n"/>
      <c r="E45" s="29" t="n"/>
      <c r="F45" s="29" t="n"/>
      <c r="G45" s="29" t="n"/>
    </row>
    <row r="46">
      <c r="A46" s="31" t="n"/>
      <c r="B46" s="29" t="n"/>
      <c r="C46" s="29" t="n"/>
      <c r="D46" s="29" t="n"/>
      <c r="E46" s="29" t="n"/>
      <c r="F46" s="29" t="n"/>
      <c r="G46" s="29" t="n"/>
    </row>
    <row r="47">
      <c r="A47" s="31" t="n"/>
      <c r="B47" s="29" t="n"/>
      <c r="C47" s="29" t="n"/>
      <c r="D47" s="29" t="n"/>
      <c r="E47" s="29" t="n"/>
      <c r="F47" s="29" t="n"/>
      <c r="G47" s="29" t="n"/>
    </row>
    <row r="48">
      <c r="A48" s="31" t="n"/>
      <c r="B48" s="29" t="n"/>
      <c r="C48" s="29" t="n"/>
      <c r="D48" s="29" t="n"/>
      <c r="E48" s="29" t="n"/>
      <c r="F48" s="29" t="n"/>
      <c r="G48" s="29" t="n"/>
    </row>
    <row r="49">
      <c r="A49" s="31" t="n"/>
      <c r="B49" s="29" t="n"/>
      <c r="C49" s="29" t="n"/>
      <c r="D49" s="29" t="n"/>
      <c r="E49" s="29" t="n"/>
      <c r="F49" s="29" t="n"/>
      <c r="G49" s="29" t="n"/>
    </row>
    <row r="50">
      <c r="A50" s="31" t="n"/>
      <c r="B50" s="29" t="n"/>
      <c r="C50" s="29" t="n"/>
      <c r="D50" s="29" t="n"/>
      <c r="E50" s="29" t="n"/>
      <c r="F50" s="29" t="n"/>
      <c r="G50" s="29" t="n"/>
    </row>
    <row r="51">
      <c r="A51" s="31" t="n"/>
      <c r="B51" s="29" t="n"/>
      <c r="C51" s="29" t="n"/>
      <c r="D51" s="29" t="n"/>
      <c r="E51" s="29" t="n"/>
      <c r="F51" s="29" t="n"/>
      <c r="G51" s="29" t="n"/>
    </row>
    <row r="52">
      <c r="A52" s="31" t="n"/>
      <c r="B52" s="29" t="n"/>
      <c r="C52" s="29" t="n"/>
      <c r="D52" s="29" t="n"/>
      <c r="E52" s="29" t="n"/>
      <c r="F52" s="29" t="n"/>
      <c r="G52" s="29" t="n"/>
    </row>
    <row r="53">
      <c r="A53" s="31" t="n"/>
      <c r="B53" s="29" t="n"/>
      <c r="C53" s="29" t="n"/>
      <c r="D53" s="29" t="n"/>
      <c r="E53" s="29" t="n"/>
      <c r="F53" s="29" t="n"/>
      <c r="G53" s="29" t="n"/>
    </row>
    <row r="54">
      <c r="A54" s="31" t="n"/>
      <c r="B54" s="29" t="n"/>
      <c r="C54" s="29" t="n"/>
      <c r="D54" s="29" t="n"/>
      <c r="E54" s="29" t="n"/>
      <c r="F54" s="29" t="n"/>
      <c r="G54" s="29" t="n"/>
    </row>
    <row r="55">
      <c r="A55" s="31" t="n"/>
      <c r="B55" s="29" t="n"/>
      <c r="C55" s="29" t="n"/>
      <c r="D55" s="29" t="n"/>
      <c r="E55" s="29" t="n"/>
      <c r="F55" s="29" t="n"/>
      <c r="G55" s="29" t="n"/>
    </row>
    <row r="56">
      <c r="A56" s="31" t="n"/>
      <c r="B56" s="29" t="n"/>
      <c r="C56" s="29" t="n"/>
      <c r="D56" s="29" t="n"/>
      <c r="E56" s="29" t="n"/>
      <c r="F56" s="29" t="n"/>
      <c r="G56" s="29" t="n"/>
    </row>
    <row r="57">
      <c r="A57" s="31" t="n"/>
      <c r="B57" s="29" t="n"/>
      <c r="C57" s="29" t="n"/>
      <c r="D57" s="29" t="n"/>
      <c r="E57" s="29" t="n"/>
      <c r="F57" s="29" t="n"/>
      <c r="G57" s="29" t="n"/>
    </row>
    <row r="58">
      <c r="A58" s="31" t="n"/>
      <c r="B58" s="29" t="n"/>
      <c r="C58" s="29" t="n"/>
      <c r="D58" s="29" t="n"/>
      <c r="E58" s="29" t="n"/>
      <c r="F58" s="29" t="n"/>
      <c r="G58" s="29" t="n"/>
    </row>
    <row r="59">
      <c r="A59" s="31" t="n"/>
      <c r="B59" s="29" t="n"/>
      <c r="C59" s="29" t="n"/>
      <c r="D59" s="29" t="n"/>
      <c r="E59" s="29" t="n"/>
      <c r="F59" s="29" t="n"/>
      <c r="G59" s="29" t="n"/>
    </row>
    <row r="60">
      <c r="A60" s="31" t="n"/>
      <c r="B60" s="29" t="n"/>
      <c r="C60" s="29" t="n"/>
      <c r="D60" s="29" t="n"/>
      <c r="E60" s="29" t="n"/>
      <c r="F60" s="29" t="n"/>
      <c r="G60" s="29" t="n"/>
    </row>
    <row r="61">
      <c r="A61" s="31" t="n"/>
      <c r="B61" s="29" t="n"/>
      <c r="C61" s="29" t="n"/>
      <c r="D61" s="29" t="n"/>
      <c r="E61" s="29" t="n"/>
      <c r="F61" s="29" t="n"/>
      <c r="G61" s="29" t="n"/>
    </row>
    <row r="62">
      <c r="A62" s="31" t="n"/>
      <c r="B62" s="29" t="n"/>
      <c r="C62" s="29" t="n"/>
      <c r="D62" s="29" t="n"/>
      <c r="E62" s="29" t="n"/>
      <c r="F62" s="29" t="n"/>
      <c r="G62" s="29" t="n"/>
    </row>
    <row r="63">
      <c r="A63" s="31" t="n"/>
      <c r="B63" s="29" t="n"/>
      <c r="C63" s="29" t="n"/>
      <c r="D63" s="29" t="n"/>
      <c r="E63" s="29" t="n"/>
      <c r="F63" s="29" t="n"/>
      <c r="G63" s="29" t="n"/>
    </row>
    <row r="64">
      <c r="A64" s="31" t="n"/>
      <c r="B64" s="29" t="n"/>
      <c r="C64" s="29" t="n"/>
      <c r="D64" s="29" t="n"/>
      <c r="E64" s="29" t="n"/>
      <c r="F64" s="29" t="n"/>
      <c r="G64" s="29" t="n"/>
    </row>
    <row r="65">
      <c r="A65" s="31" t="n"/>
      <c r="B65" s="29" t="n"/>
      <c r="C65" s="29" t="n"/>
      <c r="D65" s="29" t="n"/>
      <c r="E65" s="29" t="n"/>
      <c r="F65" s="29" t="n"/>
      <c r="G65" s="29" t="n"/>
    </row>
    <row r="66">
      <c r="A66" s="31" t="n"/>
      <c r="B66" s="29" t="n"/>
      <c r="C66" s="29" t="n"/>
      <c r="D66" s="29" t="n"/>
      <c r="E66" s="29" t="n"/>
      <c r="F66" s="29" t="n"/>
      <c r="G66" s="29" t="n"/>
    </row>
    <row r="67">
      <c r="A67" s="31" t="n"/>
      <c r="B67" s="29" t="n"/>
      <c r="C67" s="29" t="n"/>
      <c r="D67" s="29" t="n"/>
      <c r="E67" s="29" t="n"/>
      <c r="F67" s="29" t="n"/>
      <c r="G67" s="29" t="n"/>
    </row>
    <row r="68">
      <c r="A68" s="31" t="n"/>
      <c r="B68" s="29" t="n"/>
      <c r="C68" s="29" t="n"/>
      <c r="D68" s="29" t="n"/>
      <c r="E68" s="29" t="n"/>
      <c r="F68" s="29" t="n"/>
      <c r="G68" s="29" t="n"/>
    </row>
    <row r="69">
      <c r="A69" s="31" t="n"/>
      <c r="B69" s="29" t="n"/>
      <c r="C69" s="29" t="n"/>
      <c r="D69" s="29" t="n"/>
      <c r="E69" s="29" t="n"/>
      <c r="F69" s="29" t="n"/>
      <c r="G69" s="29" t="n"/>
    </row>
    <row r="70">
      <c r="A70" s="31" t="n"/>
      <c r="B70" s="29" t="n"/>
      <c r="C70" s="29" t="n"/>
      <c r="D70" s="29" t="n"/>
      <c r="E70" s="29" t="n"/>
      <c r="F70" s="29" t="n"/>
      <c r="G70" s="29" t="n"/>
    </row>
    <row r="71">
      <c r="A71" s="31" t="n"/>
      <c r="B71" s="29" t="n"/>
      <c r="C71" s="29" t="n"/>
      <c r="D71" s="29" t="n"/>
      <c r="E71" s="29" t="n"/>
      <c r="F71" s="29" t="n"/>
      <c r="G71" s="29" t="n"/>
    </row>
    <row r="72">
      <c r="A72" s="31" t="n"/>
      <c r="B72" s="29" t="n"/>
      <c r="C72" s="29" t="n"/>
      <c r="D72" s="29" t="n"/>
      <c r="E72" s="29" t="n"/>
      <c r="F72" s="29" t="n"/>
      <c r="G72" s="29" t="n"/>
    </row>
    <row r="73">
      <c r="A73" s="31" t="n"/>
      <c r="B73" s="29" t="n"/>
      <c r="C73" s="29" t="n"/>
      <c r="D73" s="29" t="n"/>
      <c r="E73" s="29" t="n"/>
      <c r="F73" s="29" t="n"/>
      <c r="G73" s="29" t="n"/>
    </row>
    <row r="74">
      <c r="A74" s="31" t="n"/>
      <c r="B74" s="29" t="n"/>
      <c r="C74" s="29" t="n"/>
      <c r="D74" s="29" t="n"/>
      <c r="E74" s="29" t="n"/>
      <c r="F74" s="29" t="n"/>
      <c r="G74" s="29" t="n"/>
    </row>
    <row r="75">
      <c r="A75" s="31" t="n"/>
      <c r="B75" s="29" t="n"/>
      <c r="C75" s="29" t="n"/>
      <c r="D75" s="29" t="n"/>
      <c r="E75" s="29" t="n"/>
      <c r="F75" s="29" t="n"/>
      <c r="G75" s="29" t="n"/>
    </row>
    <row r="76">
      <c r="A76" s="31" t="n"/>
      <c r="B76" s="29" t="n"/>
      <c r="C76" s="29" t="n"/>
      <c r="D76" s="29" t="n"/>
      <c r="E76" s="29" t="n"/>
      <c r="F76" s="29" t="n"/>
      <c r="G76" s="29" t="n"/>
    </row>
    <row r="77">
      <c r="A77" s="31" t="n"/>
      <c r="B77" s="29" t="n"/>
      <c r="C77" s="29" t="n"/>
      <c r="D77" s="29" t="n"/>
      <c r="E77" s="29" t="n"/>
      <c r="F77" s="29" t="n"/>
      <c r="G77" s="29" t="n"/>
    </row>
    <row r="78">
      <c r="A78" s="31" t="n"/>
      <c r="B78" s="29" t="n"/>
      <c r="C78" s="29" t="n"/>
      <c r="D78" s="29" t="n"/>
      <c r="E78" s="29" t="n"/>
      <c r="F78" s="29" t="n"/>
      <c r="G78" s="29" t="n"/>
    </row>
    <row r="79">
      <c r="A79" s="31" t="n"/>
      <c r="B79" s="29" t="n"/>
      <c r="C79" s="29" t="n"/>
      <c r="D79" s="29" t="n"/>
      <c r="E79" s="29" t="n"/>
      <c r="F79" s="29" t="n"/>
      <c r="G79" s="29" t="n"/>
    </row>
    <row r="80">
      <c r="A80" s="31" t="n"/>
      <c r="B80" s="29" t="n"/>
      <c r="C80" s="29" t="n"/>
      <c r="D80" s="29" t="n"/>
      <c r="E80" s="29" t="n"/>
      <c r="F80" s="29" t="n"/>
      <c r="G80" s="29" t="n"/>
    </row>
    <row r="81">
      <c r="A81" s="31" t="n"/>
      <c r="B81" s="29" t="n"/>
      <c r="C81" s="29" t="n"/>
      <c r="D81" s="29" t="n"/>
      <c r="E81" s="29" t="n"/>
      <c r="F81" s="29" t="n"/>
      <c r="G81" s="29" t="n"/>
    </row>
    <row r="82">
      <c r="A82" s="31" t="n"/>
      <c r="B82" s="29" t="n"/>
      <c r="C82" s="29" t="n"/>
      <c r="D82" s="29" t="n"/>
      <c r="E82" s="29" t="n"/>
      <c r="F82" s="29" t="n"/>
      <c r="G82" s="29" t="n"/>
    </row>
    <row r="83">
      <c r="A83" s="31" t="n"/>
      <c r="B83" s="29" t="n"/>
      <c r="C83" s="29" t="n"/>
      <c r="D83" s="29" t="n"/>
      <c r="E83" s="29" t="n"/>
      <c r="F83" s="29" t="n"/>
      <c r="G83" s="29" t="n"/>
    </row>
    <row r="84">
      <c r="A84" s="31" t="n"/>
      <c r="B84" s="29" t="n"/>
      <c r="C84" s="29" t="n"/>
      <c r="D84" s="29" t="n"/>
      <c r="E84" s="29" t="n"/>
      <c r="F84" s="29" t="n"/>
      <c r="G84" s="29" t="n"/>
    </row>
    <row r="85">
      <c r="A85" s="31" t="n"/>
      <c r="B85" s="29" t="n"/>
      <c r="C85" s="29" t="n"/>
      <c r="D85" s="29" t="n"/>
      <c r="E85" s="29" t="n"/>
      <c r="F85" s="29" t="n"/>
      <c r="G85" s="29" t="n"/>
    </row>
    <row r="86">
      <c r="A86" s="31" t="n"/>
      <c r="B86" s="29" t="n"/>
      <c r="C86" s="29" t="n"/>
      <c r="D86" s="29" t="n"/>
      <c r="E86" s="29" t="n"/>
      <c r="F86" s="29" t="n"/>
      <c r="G86" s="29" t="n"/>
    </row>
    <row r="87">
      <c r="A87" s="31" t="n"/>
      <c r="B87" s="29" t="n"/>
      <c r="C87" s="29" t="n"/>
      <c r="D87" s="29" t="n"/>
      <c r="E87" s="29" t="n"/>
      <c r="F87" s="29" t="n"/>
      <c r="G87" s="29" t="n"/>
    </row>
    <row r="88">
      <c r="A88" s="31" t="n"/>
      <c r="B88" s="29" t="n"/>
      <c r="C88" s="29" t="n"/>
      <c r="D88" s="29" t="n"/>
      <c r="E88" s="29" t="n"/>
      <c r="F88" s="29" t="n"/>
      <c r="G88" s="29" t="n"/>
    </row>
    <row r="89">
      <c r="A89" s="31" t="n"/>
      <c r="B89" s="29" t="n"/>
      <c r="C89" s="29" t="n"/>
      <c r="D89" s="29" t="n"/>
      <c r="E89" s="29" t="n"/>
      <c r="F89" s="29" t="n"/>
      <c r="G89" s="29" t="n"/>
    </row>
    <row r="90">
      <c r="A90" s="31" t="n"/>
      <c r="B90" s="29" t="n"/>
      <c r="C90" s="29" t="n"/>
      <c r="D90" s="29" t="n"/>
      <c r="E90" s="29" t="n"/>
      <c r="F90" s="29" t="n"/>
      <c r="G90" s="29" t="n"/>
    </row>
    <row r="91">
      <c r="A91" s="31" t="n"/>
      <c r="B91" s="29" t="n"/>
      <c r="C91" s="29" t="n"/>
      <c r="D91" s="29" t="n"/>
      <c r="E91" s="29" t="n"/>
      <c r="F91" s="29" t="n"/>
      <c r="G91" s="29" t="n"/>
    </row>
    <row r="92">
      <c r="A92" s="31" t="n"/>
      <c r="B92" s="29" t="n"/>
      <c r="C92" s="29" t="n"/>
      <c r="D92" s="29" t="n"/>
      <c r="E92" s="29" t="n"/>
      <c r="F92" s="29" t="n"/>
      <c r="G92" s="29" t="n"/>
    </row>
    <row r="93">
      <c r="A93" s="31" t="n"/>
      <c r="B93" s="29" t="n"/>
      <c r="C93" s="29" t="n"/>
      <c r="D93" s="29" t="n"/>
      <c r="E93" s="29" t="n"/>
      <c r="F93" s="29" t="n"/>
      <c r="G93" s="29" t="n"/>
    </row>
    <row r="94">
      <c r="A94" s="31" t="n"/>
      <c r="B94" s="29" t="n"/>
      <c r="C94" s="29" t="n"/>
      <c r="D94" s="29" t="n"/>
      <c r="E94" s="29" t="n"/>
      <c r="F94" s="29" t="n"/>
      <c r="G94" s="29" t="n"/>
    </row>
    <row r="95">
      <c r="A95" s="31" t="n"/>
      <c r="B95" s="29" t="n"/>
      <c r="C95" s="29" t="n"/>
      <c r="D95" s="29" t="n"/>
      <c r="E95" s="29" t="n"/>
      <c r="F95" s="29" t="n"/>
      <c r="G95" s="29" t="n"/>
    </row>
    <row r="96">
      <c r="A96" s="31" t="n"/>
      <c r="B96" s="29" t="n"/>
      <c r="C96" s="29" t="n"/>
      <c r="D96" s="29" t="n"/>
      <c r="E96" s="29" t="n"/>
      <c r="F96" s="29" t="n"/>
      <c r="G96" s="29" t="n"/>
    </row>
    <row r="97">
      <c r="A97" s="31" t="n"/>
      <c r="B97" s="29" t="n"/>
      <c r="C97" s="29" t="n"/>
      <c r="D97" s="29" t="n"/>
      <c r="E97" s="29" t="n"/>
      <c r="F97" s="29" t="n"/>
      <c r="G97" s="29" t="n"/>
    </row>
    <row r="98">
      <c r="A98" s="31" t="n"/>
      <c r="B98" s="29" t="n"/>
      <c r="C98" s="29" t="n"/>
      <c r="D98" s="29" t="n"/>
      <c r="E98" s="29" t="n"/>
      <c r="F98" s="29" t="n"/>
      <c r="G98" s="29" t="n"/>
    </row>
    <row r="99">
      <c r="A99" s="31" t="n"/>
      <c r="B99" s="29" t="n"/>
      <c r="C99" s="29" t="n"/>
      <c r="D99" s="29" t="n"/>
      <c r="E99" s="29" t="n"/>
      <c r="F99" s="29" t="n"/>
      <c r="G99" s="29" t="n"/>
    </row>
    <row r="100">
      <c r="A100" s="31" t="n"/>
      <c r="B100" s="29" t="n"/>
      <c r="C100" s="29" t="n"/>
      <c r="D100" s="29" t="n"/>
      <c r="E100" s="29" t="n"/>
      <c r="F100" s="29" t="n"/>
      <c r="G100" s="29" t="n"/>
    </row>
    <row r="101">
      <c r="A101" s="31" t="n"/>
      <c r="B101" s="29" t="n"/>
      <c r="C101" s="29" t="n"/>
      <c r="D101" s="29" t="n"/>
      <c r="E101" s="29" t="n"/>
      <c r="F101" s="29" t="n"/>
      <c r="G101" s="29" t="n"/>
    </row>
    <row r="102">
      <c r="A102" s="31" t="n"/>
      <c r="B102" s="29" t="n"/>
      <c r="C102" s="29" t="n"/>
      <c r="D102" s="29" t="n"/>
      <c r="E102" s="29" t="n"/>
      <c r="F102" s="29" t="n"/>
      <c r="G102" s="29" t="n"/>
    </row>
    <row r="103">
      <c r="A103" s="31" t="n"/>
      <c r="B103" s="29" t="n"/>
      <c r="C103" s="29" t="n"/>
      <c r="D103" s="29" t="n"/>
      <c r="E103" s="29" t="n"/>
      <c r="F103" s="29" t="n"/>
      <c r="G103" s="29" t="n"/>
    </row>
    <row r="104">
      <c r="A104" s="31" t="n"/>
      <c r="B104" s="29" t="n"/>
      <c r="C104" s="29" t="n"/>
      <c r="D104" s="29" t="n"/>
      <c r="E104" s="29" t="n"/>
      <c r="F104" s="29" t="n"/>
      <c r="G104" s="29" t="n"/>
    </row>
    <row r="105">
      <c r="A105" s="31" t="n"/>
      <c r="B105" s="29" t="n"/>
      <c r="C105" s="29" t="n"/>
      <c r="D105" s="29" t="n"/>
      <c r="E105" s="29" t="n"/>
      <c r="F105" s="29" t="n"/>
      <c r="G105" s="29" t="n"/>
    </row>
    <row r="106">
      <c r="A106" s="31" t="n"/>
      <c r="B106" s="29" t="n"/>
      <c r="C106" s="29" t="n"/>
      <c r="D106" s="29" t="n"/>
      <c r="E106" s="29" t="n"/>
      <c r="F106" s="29" t="n"/>
      <c r="G106" s="29" t="n"/>
    </row>
    <row r="107">
      <c r="A107" s="31" t="n"/>
      <c r="B107" s="29" t="n"/>
      <c r="C107" s="29" t="n"/>
      <c r="D107" s="29" t="n"/>
      <c r="E107" s="29" t="n"/>
      <c r="F107" s="29" t="n"/>
      <c r="G107" s="29" t="n"/>
    </row>
    <row r="108">
      <c r="A108" s="31" t="n"/>
      <c r="B108" s="29" t="n"/>
      <c r="C108" s="29" t="n"/>
      <c r="D108" s="29" t="n"/>
      <c r="E108" s="29" t="n"/>
      <c r="F108" s="29" t="n"/>
      <c r="G108" s="29" t="n"/>
    </row>
    <row r="109">
      <c r="A109" s="31" t="n"/>
      <c r="B109" s="29" t="n"/>
      <c r="C109" s="29" t="n"/>
      <c r="D109" s="29" t="n"/>
      <c r="E109" s="29" t="n"/>
      <c r="F109" s="29" t="n"/>
      <c r="G109" s="29" t="n"/>
    </row>
    <row r="110">
      <c r="A110" s="31" t="n"/>
      <c r="B110" s="29" t="n"/>
      <c r="C110" s="29" t="n"/>
      <c r="D110" s="29" t="n"/>
      <c r="E110" s="29" t="n"/>
      <c r="F110" s="29" t="n"/>
      <c r="G110" s="29" t="n"/>
    </row>
    <row r="111">
      <c r="A111" s="31" t="n"/>
      <c r="B111" s="29" t="n"/>
      <c r="C111" s="29" t="n"/>
      <c r="D111" s="29" t="n"/>
      <c r="E111" s="29" t="n"/>
      <c r="F111" s="29" t="n"/>
      <c r="G111" s="29" t="n"/>
    </row>
    <row r="112">
      <c r="A112" s="31" t="n"/>
      <c r="B112" s="29" t="n"/>
      <c r="C112" s="29" t="n"/>
      <c r="D112" s="29" t="n"/>
      <c r="E112" s="29" t="n"/>
      <c r="F112" s="29" t="n"/>
      <c r="G112" s="29" t="n"/>
    </row>
    <row r="113">
      <c r="A113" s="31" t="n"/>
      <c r="B113" s="29" t="n"/>
      <c r="C113" s="29" t="n"/>
      <c r="D113" s="29" t="n"/>
      <c r="E113" s="29" t="n"/>
      <c r="F113" s="29" t="n"/>
      <c r="G113" s="29" t="n"/>
    </row>
    <row r="114">
      <c r="A114" s="31" t="n"/>
      <c r="B114" s="29" t="n"/>
      <c r="C114" s="29" t="n"/>
      <c r="D114" s="29" t="n"/>
      <c r="E114" s="29" t="n"/>
      <c r="F114" s="29" t="n"/>
      <c r="G114" s="29" t="n"/>
    </row>
    <row r="115">
      <c r="A115" s="31" t="n"/>
      <c r="B115" s="29" t="n"/>
      <c r="C115" s="29" t="n"/>
      <c r="D115" s="29" t="n"/>
      <c r="E115" s="29" t="n"/>
      <c r="F115" s="29" t="n"/>
      <c r="G115" s="29" t="n"/>
    </row>
    <row r="116">
      <c r="A116" s="31" t="n"/>
      <c r="B116" s="29" t="n"/>
      <c r="C116" s="29" t="n"/>
      <c r="D116" s="29" t="n"/>
      <c r="E116" s="29" t="n"/>
      <c r="F116" s="29" t="n"/>
      <c r="G116" s="29" t="n"/>
    </row>
    <row r="117">
      <c r="A117" s="31" t="n"/>
      <c r="B117" s="29" t="n"/>
      <c r="C117" s="29" t="n"/>
      <c r="D117" s="29" t="n"/>
      <c r="E117" s="29" t="n"/>
      <c r="F117" s="29" t="n"/>
      <c r="G117" s="29" t="n"/>
    </row>
    <row r="118">
      <c r="A118" s="31" t="n"/>
      <c r="B118" s="29" t="n"/>
      <c r="C118" s="29" t="n"/>
      <c r="D118" s="29" t="n"/>
      <c r="E118" s="29" t="n"/>
      <c r="F118" s="29" t="n"/>
      <c r="G118" s="29" t="n"/>
    </row>
    <row r="119">
      <c r="A119" s="31" t="n"/>
      <c r="B119" s="29" t="n"/>
      <c r="C119" s="29" t="n"/>
      <c r="D119" s="29" t="n"/>
      <c r="E119" s="29" t="n"/>
      <c r="F119" s="29" t="n"/>
      <c r="G119" s="29" t="n"/>
    </row>
    <row r="120">
      <c r="A120" s="31" t="n"/>
      <c r="B120" s="29" t="n"/>
      <c r="C120" s="29" t="n"/>
      <c r="D120" s="29" t="n"/>
      <c r="E120" s="29" t="n"/>
      <c r="F120" s="29" t="n"/>
      <c r="G120" s="29" t="n"/>
    </row>
    <row r="121">
      <c r="A121" s="31" t="n"/>
      <c r="B121" s="29" t="n"/>
      <c r="C121" s="29" t="n"/>
      <c r="D121" s="29" t="n"/>
      <c r="E121" s="29" t="n"/>
      <c r="F121" s="29" t="n"/>
      <c r="G121" s="29" t="n"/>
    </row>
    <row r="122">
      <c r="A122" s="31" t="n"/>
      <c r="B122" s="29" t="n"/>
      <c r="C122" s="29" t="n"/>
      <c r="D122" s="29" t="n"/>
      <c r="E122" s="29" t="n"/>
      <c r="F122" s="29" t="n"/>
      <c r="G122" s="29" t="n"/>
    </row>
    <row r="123">
      <c r="A123" s="31" t="n"/>
      <c r="B123" s="29" t="n"/>
      <c r="C123" s="29" t="n"/>
      <c r="D123" s="29" t="n"/>
      <c r="E123" s="29" t="n"/>
      <c r="F123" s="29" t="n"/>
      <c r="G123" s="29" t="n"/>
    </row>
    <row r="124">
      <c r="A124" s="31" t="n"/>
      <c r="B124" s="29" t="n"/>
      <c r="C124" s="29" t="n"/>
      <c r="D124" s="29" t="n"/>
      <c r="E124" s="29" t="n"/>
      <c r="F124" s="29" t="n"/>
      <c r="G124" s="29" t="n"/>
    </row>
    <row r="125">
      <c r="A125" s="31" t="n"/>
      <c r="B125" s="29" t="n"/>
      <c r="C125" s="29" t="n"/>
      <c r="D125" s="29" t="n"/>
      <c r="E125" s="29" t="n"/>
      <c r="F125" s="29" t="n"/>
      <c r="G125" s="29" t="n"/>
    </row>
    <row r="126">
      <c r="A126" s="31" t="n"/>
      <c r="B126" s="29" t="n"/>
      <c r="C126" s="29" t="n"/>
      <c r="D126" s="29" t="n"/>
      <c r="E126" s="29" t="n"/>
      <c r="F126" s="29" t="n"/>
      <c r="G126" s="29" t="n"/>
    </row>
    <row r="127">
      <c r="A127" s="31" t="n"/>
      <c r="B127" s="29" t="n"/>
      <c r="C127" s="29" t="n"/>
      <c r="D127" s="29" t="n"/>
      <c r="E127" s="29" t="n"/>
      <c r="F127" s="29" t="n"/>
      <c r="G127" s="29" t="n"/>
    </row>
    <row r="128">
      <c r="A128" s="31" t="n"/>
      <c r="B128" s="29" t="n"/>
      <c r="C128" s="29" t="n"/>
      <c r="D128" s="29" t="n"/>
      <c r="E128" s="29" t="n"/>
      <c r="F128" s="29" t="n"/>
      <c r="G128" s="29" t="n"/>
    </row>
    <row r="129">
      <c r="A129" s="31" t="n"/>
      <c r="B129" s="29" t="n"/>
      <c r="C129" s="29" t="n"/>
      <c r="D129" s="29" t="n"/>
      <c r="E129" s="29" t="n"/>
      <c r="F129" s="29" t="n"/>
      <c r="G129" s="29" t="n"/>
    </row>
    <row r="130">
      <c r="A130" s="31" t="n"/>
      <c r="B130" s="29" t="n"/>
      <c r="C130" s="29" t="n"/>
      <c r="D130" s="29" t="n"/>
      <c r="E130" s="29" t="n"/>
      <c r="F130" s="29" t="n"/>
      <c r="G130" s="29" t="n"/>
    </row>
    <row r="131">
      <c r="A131" s="31" t="n"/>
      <c r="B131" s="29" t="n"/>
      <c r="C131" s="29" t="n"/>
      <c r="D131" s="29" t="n"/>
      <c r="E131" s="29" t="n"/>
      <c r="F131" s="29" t="n"/>
      <c r="G131" s="29" t="n"/>
    </row>
    <row r="132">
      <c r="A132" s="31" t="n"/>
      <c r="B132" s="29" t="n"/>
      <c r="C132" s="29" t="n"/>
      <c r="D132" s="29" t="n"/>
      <c r="E132" s="29" t="n"/>
      <c r="F132" s="29" t="n"/>
      <c r="G132" s="29" t="n"/>
    </row>
    <row r="133">
      <c r="A133" s="31" t="n"/>
      <c r="B133" s="29" t="n"/>
      <c r="C133" s="29" t="n"/>
      <c r="D133" s="29" t="n"/>
      <c r="E133" s="29" t="n"/>
      <c r="F133" s="29" t="n"/>
      <c r="G133" s="29" t="n"/>
    </row>
    <row r="134">
      <c r="A134" s="31" t="n"/>
      <c r="B134" s="29" t="n"/>
      <c r="C134" s="29" t="n"/>
      <c r="D134" s="29" t="n"/>
      <c r="E134" s="29" t="n"/>
      <c r="F134" s="29" t="n"/>
      <c r="G134" s="29" t="n"/>
    </row>
    <row r="135">
      <c r="A135" s="31" t="n"/>
      <c r="B135" s="29" t="n"/>
      <c r="C135" s="29" t="n"/>
      <c r="D135" s="29" t="n"/>
      <c r="E135" s="29" t="n"/>
      <c r="F135" s="29" t="n"/>
      <c r="G135" s="29" t="n"/>
    </row>
    <row r="136">
      <c r="A136" s="31" t="n"/>
      <c r="B136" s="29" t="n"/>
      <c r="C136" s="29" t="n"/>
      <c r="D136" s="29" t="n"/>
      <c r="E136" s="29" t="n"/>
      <c r="F136" s="29" t="n"/>
      <c r="G136" s="29" t="n"/>
    </row>
    <row r="137">
      <c r="A137" s="31" t="n"/>
      <c r="B137" s="29" t="n"/>
      <c r="C137" s="29" t="n"/>
      <c r="D137" s="29" t="n"/>
      <c r="E137" s="29" t="n"/>
      <c r="F137" s="29" t="n"/>
      <c r="G137" s="29" t="n"/>
    </row>
    <row r="138">
      <c r="A138" s="31" t="n"/>
      <c r="B138" s="29" t="n"/>
      <c r="C138" s="29" t="n"/>
      <c r="D138" s="29" t="n"/>
      <c r="E138" s="29" t="n"/>
      <c r="F138" s="29" t="n"/>
      <c r="G138" s="29" t="n"/>
    </row>
    <row r="139">
      <c r="A139" s="31" t="n"/>
      <c r="B139" s="29" t="n"/>
      <c r="C139" s="29" t="n"/>
      <c r="D139" s="29" t="n"/>
      <c r="E139" s="29" t="n"/>
      <c r="F139" s="29" t="n"/>
      <c r="G139" s="29" t="n"/>
    </row>
    <row r="140">
      <c r="A140" s="31" t="n"/>
      <c r="B140" s="29" t="n"/>
      <c r="C140" s="29" t="n"/>
      <c r="D140" s="29" t="n"/>
      <c r="E140" s="29" t="n"/>
      <c r="F140" s="29" t="n"/>
      <c r="G140" s="29" t="n"/>
    </row>
    <row r="141">
      <c r="A141" s="31" t="n"/>
      <c r="B141" s="29" t="n"/>
      <c r="C141" s="29" t="n"/>
      <c r="D141" s="29" t="n"/>
      <c r="E141" s="29" t="n"/>
      <c r="F141" s="29" t="n"/>
      <c r="G141" s="29" t="n"/>
    </row>
    <row r="142">
      <c r="A142" s="31" t="n"/>
      <c r="B142" s="29" t="n"/>
      <c r="C142" s="29" t="n"/>
      <c r="D142" s="29" t="n"/>
      <c r="E142" s="29" t="n"/>
      <c r="F142" s="29" t="n"/>
      <c r="G142" s="29" t="n"/>
    </row>
    <row r="143">
      <c r="A143" s="31" t="n"/>
      <c r="B143" s="29" t="n"/>
      <c r="C143" s="29" t="n"/>
      <c r="D143" s="29" t="n"/>
      <c r="E143" s="29" t="n"/>
      <c r="F143" s="29" t="n"/>
      <c r="G143" s="29" t="n"/>
    </row>
    <row r="144">
      <c r="A144" s="31" t="n"/>
      <c r="B144" s="29" t="n"/>
      <c r="C144" s="29" t="n"/>
      <c r="D144" s="29" t="n"/>
      <c r="E144" s="29" t="n"/>
      <c r="F144" s="29" t="n"/>
      <c r="G144" s="29" t="n"/>
    </row>
    <row r="145">
      <c r="A145" s="31" t="n"/>
      <c r="B145" s="29" t="n"/>
      <c r="C145" s="29" t="n"/>
      <c r="D145" s="29" t="n"/>
      <c r="E145" s="29" t="n"/>
      <c r="F145" s="29" t="n"/>
      <c r="G145" s="29" t="n"/>
    </row>
    <row r="146">
      <c r="A146" s="31" t="n"/>
      <c r="B146" s="29" t="n"/>
      <c r="C146" s="29" t="n"/>
      <c r="D146" s="29" t="n"/>
      <c r="E146" s="29" t="n"/>
      <c r="F146" s="29" t="n"/>
      <c r="G146" s="29" t="n"/>
    </row>
    <row r="147">
      <c r="A147" s="31" t="n"/>
      <c r="B147" s="29" t="n"/>
      <c r="C147" s="29" t="n"/>
      <c r="D147" s="29" t="n"/>
      <c r="E147" s="29" t="n"/>
      <c r="F147" s="29" t="n"/>
      <c r="G147" s="29" t="n"/>
    </row>
    <row r="148">
      <c r="A148" s="31" t="n"/>
      <c r="B148" s="29" t="n"/>
      <c r="C148" s="29" t="n"/>
      <c r="D148" s="29" t="n"/>
      <c r="E148" s="29" t="n"/>
      <c r="F148" s="29" t="n"/>
      <c r="G148" s="29" t="n"/>
    </row>
    <row r="149">
      <c r="A149" s="31" t="n"/>
      <c r="B149" s="29" t="n"/>
      <c r="C149" s="29" t="n"/>
      <c r="D149" s="29" t="n"/>
      <c r="E149" s="29" t="n"/>
      <c r="F149" s="29" t="n"/>
      <c r="G149" s="29" t="n"/>
    </row>
    <row r="150">
      <c r="A150" s="31" t="n"/>
      <c r="B150" s="29" t="n"/>
      <c r="C150" s="29" t="n"/>
      <c r="D150" s="29" t="n"/>
      <c r="E150" s="29" t="n"/>
      <c r="F150" s="29" t="n"/>
      <c r="G150" s="29" t="n"/>
    </row>
    <row r="151">
      <c r="A151" s="31" t="n"/>
      <c r="B151" s="29" t="n"/>
      <c r="C151" s="29" t="n"/>
      <c r="D151" s="29" t="n"/>
      <c r="E151" s="29" t="n"/>
      <c r="F151" s="29" t="n"/>
      <c r="G151" s="29" t="n"/>
    </row>
    <row r="152">
      <c r="A152" s="31" t="n"/>
      <c r="B152" s="29" t="n"/>
      <c r="C152" s="29" t="n"/>
      <c r="D152" s="29" t="n"/>
      <c r="E152" s="29" t="n"/>
      <c r="F152" s="29" t="n"/>
      <c r="G152" s="29" t="n"/>
    </row>
    <row r="153">
      <c r="A153" s="31" t="n"/>
      <c r="B153" s="29" t="n"/>
      <c r="C153" s="29" t="n"/>
      <c r="D153" s="29" t="n"/>
      <c r="E153" s="29" t="n"/>
      <c r="F153" s="29" t="n"/>
      <c r="G153" s="29" t="n"/>
    </row>
    <row r="154">
      <c r="A154" s="31" t="n"/>
      <c r="B154" s="29" t="n"/>
      <c r="C154" s="29" t="n"/>
      <c r="D154" s="29" t="n"/>
      <c r="E154" s="29" t="n"/>
      <c r="F154" s="29" t="n"/>
      <c r="G154" s="29" t="n"/>
    </row>
    <row r="155">
      <c r="A155" s="31" t="n"/>
      <c r="B155" s="29" t="n"/>
      <c r="C155" s="29" t="n"/>
      <c r="D155" s="29" t="n"/>
      <c r="E155" s="29" t="n"/>
      <c r="F155" s="29" t="n"/>
      <c r="G155" s="29" t="n"/>
    </row>
    <row r="156">
      <c r="A156" s="31" t="n"/>
      <c r="B156" s="29" t="n"/>
      <c r="C156" s="29" t="n"/>
      <c r="D156" s="29" t="n"/>
      <c r="E156" s="29" t="n"/>
      <c r="F156" s="29" t="n"/>
      <c r="G156" s="29" t="n"/>
    </row>
    <row r="157">
      <c r="A157" s="31" t="n"/>
      <c r="B157" s="29" t="n"/>
      <c r="C157" s="29" t="n"/>
      <c r="D157" s="29" t="n"/>
      <c r="E157" s="29" t="n"/>
      <c r="F157" s="29" t="n"/>
      <c r="G157" s="29" t="n"/>
    </row>
    <row r="158">
      <c r="A158" s="31" t="n"/>
      <c r="B158" s="29" t="n"/>
      <c r="C158" s="29" t="n"/>
      <c r="D158" s="29" t="n"/>
      <c r="E158" s="29" t="n"/>
      <c r="F158" s="29" t="n"/>
      <c r="G158" s="29" t="n"/>
    </row>
    <row r="159">
      <c r="A159" s="31" t="n"/>
      <c r="B159" s="29" t="n"/>
      <c r="C159" s="29" t="n"/>
      <c r="D159" s="29" t="n"/>
      <c r="E159" s="29" t="n"/>
      <c r="F159" s="29" t="n"/>
      <c r="G159" s="29" t="n"/>
    </row>
    <row r="160">
      <c r="A160" s="31" t="n"/>
      <c r="B160" s="29" t="n"/>
      <c r="C160" s="29" t="n"/>
      <c r="D160" s="29" t="n"/>
      <c r="E160" s="29" t="n"/>
      <c r="F160" s="29" t="n"/>
      <c r="G160" s="29" t="n"/>
    </row>
    <row r="161">
      <c r="A161" s="31" t="n"/>
      <c r="B161" s="29" t="n"/>
      <c r="C161" s="29" t="n"/>
      <c r="D161" s="29" t="n"/>
      <c r="E161" s="29" t="n"/>
      <c r="F161" s="29" t="n"/>
      <c r="G161" s="29" t="n"/>
    </row>
    <row r="162">
      <c r="A162" s="31" t="n"/>
      <c r="B162" s="29" t="n"/>
      <c r="C162" s="29" t="n"/>
      <c r="D162" s="29" t="n"/>
      <c r="E162" s="29" t="n"/>
      <c r="F162" s="29" t="n"/>
      <c r="G162" s="29" t="n"/>
    </row>
    <row r="163">
      <c r="A163" s="31" t="n"/>
      <c r="B163" s="29" t="n"/>
      <c r="C163" s="29" t="n"/>
      <c r="D163" s="29" t="n"/>
      <c r="E163" s="29" t="n"/>
      <c r="F163" s="29" t="n"/>
      <c r="G163" s="29" t="n"/>
    </row>
    <row r="164">
      <c r="A164" s="31" t="n"/>
      <c r="B164" s="29" t="n"/>
      <c r="C164" s="29" t="n"/>
      <c r="D164" s="29" t="n"/>
      <c r="E164" s="29" t="n"/>
      <c r="F164" s="29" t="n"/>
      <c r="G164" s="29" t="n"/>
    </row>
    <row r="165">
      <c r="A165" s="31" t="n"/>
      <c r="B165" s="29" t="n"/>
      <c r="C165" s="29" t="n"/>
      <c r="D165" s="29" t="n"/>
      <c r="E165" s="29" t="n"/>
      <c r="F165" s="29" t="n"/>
      <c r="G165" s="29" t="n"/>
    </row>
    <row r="166">
      <c r="A166" s="31" t="n"/>
      <c r="B166" s="29" t="n"/>
      <c r="C166" s="29" t="n"/>
      <c r="D166" s="29" t="n"/>
      <c r="E166" s="29" t="n"/>
      <c r="F166" s="29" t="n"/>
      <c r="G166" s="29" t="n"/>
    </row>
    <row r="167">
      <c r="A167" s="31" t="n"/>
      <c r="B167" s="29" t="n"/>
      <c r="C167" s="29" t="n"/>
      <c r="D167" s="29" t="n"/>
      <c r="E167" s="29" t="n"/>
      <c r="F167" s="29" t="n"/>
      <c r="G167" s="29" t="n"/>
    </row>
    <row r="168">
      <c r="A168" s="31" t="n"/>
      <c r="B168" s="29" t="n"/>
      <c r="C168" s="29" t="n"/>
      <c r="D168" s="29" t="n"/>
      <c r="E168" s="29" t="n"/>
      <c r="F168" s="29" t="n"/>
      <c r="G168" s="29" t="n"/>
    </row>
    <row r="169">
      <c r="A169" s="31" t="n"/>
      <c r="B169" s="29" t="n"/>
      <c r="C169" s="29" t="n"/>
      <c r="D169" s="29" t="n"/>
      <c r="E169" s="29" t="n"/>
      <c r="F169" s="29" t="n"/>
      <c r="G169" s="29" t="n"/>
    </row>
    <row r="170">
      <c r="A170" s="31" t="n"/>
      <c r="B170" s="29" t="n"/>
      <c r="C170" s="29" t="n"/>
      <c r="D170" s="29" t="n"/>
      <c r="E170" s="29" t="n"/>
      <c r="F170" s="29" t="n"/>
      <c r="G170" s="29" t="n"/>
    </row>
    <row r="171">
      <c r="A171" s="31" t="n"/>
      <c r="B171" s="29" t="n"/>
      <c r="C171" s="29" t="n"/>
      <c r="D171" s="29" t="n"/>
      <c r="E171" s="29" t="n"/>
      <c r="F171" s="29" t="n"/>
      <c r="G171" s="29" t="n"/>
    </row>
    <row r="172">
      <c r="A172" s="31" t="n"/>
      <c r="B172" s="29" t="n"/>
      <c r="C172" s="29" t="n"/>
      <c r="D172" s="29" t="n"/>
      <c r="E172" s="29" t="n"/>
      <c r="F172" s="29" t="n"/>
      <c r="G172" s="29" t="n"/>
    </row>
    <row r="173">
      <c r="A173" s="31" t="n"/>
      <c r="B173" s="29" t="n"/>
      <c r="C173" s="29" t="n"/>
      <c r="D173" s="29" t="n"/>
      <c r="E173" s="29" t="n"/>
      <c r="F173" s="29" t="n"/>
      <c r="G173" s="29" t="n"/>
    </row>
    <row r="174">
      <c r="A174" s="31" t="n"/>
      <c r="B174" s="29" t="n"/>
      <c r="C174" s="29" t="n"/>
      <c r="D174" s="29" t="n"/>
      <c r="E174" s="29" t="n"/>
      <c r="F174" s="29" t="n"/>
      <c r="G174" s="29" t="n"/>
    </row>
    <row r="175">
      <c r="A175" s="31" t="n"/>
      <c r="B175" s="29" t="n"/>
      <c r="C175" s="29" t="n"/>
      <c r="D175" s="29" t="n"/>
      <c r="E175" s="29" t="n"/>
      <c r="F175" s="29" t="n"/>
      <c r="G175" s="29" t="n"/>
    </row>
    <row r="176">
      <c r="A176" s="31" t="n"/>
      <c r="B176" s="29" t="n"/>
      <c r="C176" s="29" t="n"/>
      <c r="D176" s="29" t="n"/>
      <c r="E176" s="29" t="n"/>
      <c r="F176" s="29" t="n"/>
      <c r="G176" s="29" t="n"/>
    </row>
    <row r="177">
      <c r="A177" s="31" t="n"/>
      <c r="B177" s="29" t="n"/>
      <c r="C177" s="29" t="n"/>
      <c r="D177" s="29" t="n"/>
      <c r="E177" s="29" t="n"/>
      <c r="F177" s="29" t="n"/>
      <c r="G177" s="29" t="n"/>
    </row>
    <row r="178">
      <c r="A178" s="31" t="n"/>
      <c r="B178" s="29" t="n"/>
      <c r="C178" s="29" t="n"/>
      <c r="D178" s="29" t="n"/>
      <c r="E178" s="29" t="n"/>
      <c r="F178" s="29" t="n"/>
      <c r="G178" s="29" t="n"/>
    </row>
    <row r="179">
      <c r="A179" s="31" t="n"/>
      <c r="B179" s="29" t="n"/>
      <c r="C179" s="29" t="n"/>
      <c r="D179" s="29" t="n"/>
      <c r="E179" s="29" t="n"/>
      <c r="F179" s="29" t="n"/>
      <c r="G179" s="29" t="n"/>
    </row>
    <row r="180">
      <c r="A180" s="31" t="n"/>
      <c r="B180" s="29" t="n"/>
      <c r="C180" s="29" t="n"/>
      <c r="D180" s="29" t="n"/>
      <c r="E180" s="29" t="n"/>
      <c r="F180" s="29" t="n"/>
      <c r="G180" s="29" t="n"/>
    </row>
    <row r="181">
      <c r="A181" s="31" t="n"/>
      <c r="B181" s="29" t="n"/>
      <c r="C181" s="29" t="n"/>
      <c r="D181" s="29" t="n"/>
      <c r="E181" s="29" t="n"/>
      <c r="F181" s="29" t="n"/>
      <c r="G181" s="29" t="n"/>
    </row>
    <row r="182">
      <c r="A182" s="31" t="n"/>
      <c r="B182" s="29" t="n"/>
      <c r="C182" s="29" t="n"/>
      <c r="D182" s="29" t="n"/>
      <c r="E182" s="29" t="n"/>
      <c r="F182" s="29" t="n"/>
      <c r="G182" s="29" t="n"/>
    </row>
    <row r="183">
      <c r="A183" s="31" t="n"/>
      <c r="B183" s="29" t="n"/>
      <c r="C183" s="29" t="n"/>
      <c r="D183" s="29" t="n"/>
      <c r="E183" s="29" t="n"/>
      <c r="F183" s="29" t="n"/>
      <c r="G183" s="29" t="n"/>
    </row>
    <row r="184">
      <c r="A184" s="31" t="n"/>
      <c r="B184" s="29" t="n"/>
      <c r="C184" s="29" t="n"/>
      <c r="D184" s="29" t="n"/>
      <c r="E184" s="29" t="n"/>
      <c r="F184" s="29" t="n"/>
      <c r="G184" s="29" t="n"/>
    </row>
    <row r="185">
      <c r="A185" s="31" t="n"/>
      <c r="B185" s="29" t="n"/>
      <c r="C185" s="29" t="n"/>
      <c r="D185" s="29" t="n"/>
      <c r="E185" s="29" t="n"/>
      <c r="F185" s="29" t="n"/>
      <c r="G185" s="29" t="n"/>
    </row>
    <row r="186">
      <c r="A186" s="31" t="n"/>
      <c r="B186" s="29" t="n"/>
      <c r="C186" s="29" t="n"/>
      <c r="D186" s="29" t="n"/>
      <c r="E186" s="29" t="n"/>
      <c r="F186" s="29" t="n"/>
      <c r="G186" s="29" t="n"/>
    </row>
    <row r="187">
      <c r="A187" s="31" t="n"/>
      <c r="B187" s="29" t="n"/>
      <c r="C187" s="29" t="n"/>
      <c r="D187" s="29" t="n"/>
      <c r="E187" s="29" t="n"/>
      <c r="F187" s="29" t="n"/>
      <c r="G187" s="29" t="n"/>
    </row>
    <row r="188">
      <c r="A188" s="31" t="n"/>
      <c r="B188" s="29" t="n"/>
      <c r="C188" s="29" t="n"/>
      <c r="D188" s="29" t="n"/>
      <c r="E188" s="29" t="n"/>
      <c r="F188" s="29" t="n"/>
      <c r="G188" s="29" t="n"/>
    </row>
    <row r="189">
      <c r="A189" s="31" t="n"/>
      <c r="B189" s="29" t="n"/>
      <c r="C189" s="29" t="n"/>
      <c r="D189" s="29" t="n"/>
      <c r="E189" s="29" t="n"/>
      <c r="F189" s="29" t="n"/>
      <c r="G189" s="29" t="n"/>
    </row>
    <row r="190">
      <c r="A190" s="31" t="n"/>
      <c r="B190" s="29" t="n"/>
      <c r="C190" s="29" t="n"/>
      <c r="D190" s="29" t="n"/>
      <c r="E190" s="29" t="n"/>
      <c r="F190" s="29" t="n"/>
      <c r="G190" s="29" t="n"/>
    </row>
    <row r="191">
      <c r="A191" s="31" t="n"/>
      <c r="B191" s="29" t="n"/>
      <c r="C191" s="29" t="n"/>
      <c r="D191" s="29" t="n"/>
      <c r="E191" s="29" t="n"/>
      <c r="F191" s="29" t="n"/>
      <c r="G191" s="29" t="n"/>
    </row>
    <row r="192">
      <c r="A192" s="31" t="n"/>
      <c r="B192" s="29" t="n"/>
      <c r="C192" s="29" t="n"/>
      <c r="D192" s="29" t="n"/>
      <c r="E192" s="29" t="n"/>
      <c r="F192" s="29" t="n"/>
      <c r="G192" s="29" t="n"/>
    </row>
    <row r="193">
      <c r="A193" s="31" t="n"/>
      <c r="B193" s="29" t="n"/>
      <c r="C193" s="29" t="n"/>
      <c r="D193" s="29" t="n"/>
      <c r="E193" s="29" t="n"/>
      <c r="F193" s="29" t="n"/>
      <c r="G193" s="29" t="n"/>
    </row>
    <row r="194">
      <c r="A194" s="31" t="n"/>
      <c r="B194" s="29" t="n"/>
      <c r="C194" s="29" t="n"/>
      <c r="D194" s="29" t="n"/>
      <c r="E194" s="29" t="n"/>
      <c r="F194" s="29" t="n"/>
      <c r="G194" s="29" t="n"/>
    </row>
    <row r="195">
      <c r="A195" s="31" t="n"/>
      <c r="B195" s="29" t="n"/>
      <c r="C195" s="29" t="n"/>
      <c r="D195" s="29" t="n"/>
      <c r="E195" s="29" t="n"/>
      <c r="F195" s="29" t="n"/>
      <c r="G195" s="29" t="n"/>
    </row>
    <row r="196">
      <c r="A196" s="31" t="n"/>
      <c r="B196" s="29" t="n"/>
      <c r="C196" s="29" t="n"/>
      <c r="D196" s="29" t="n"/>
      <c r="E196" s="29" t="n"/>
      <c r="F196" s="29" t="n"/>
      <c r="G196" s="29" t="n"/>
    </row>
    <row r="197">
      <c r="A197" s="31" t="n"/>
      <c r="B197" s="29" t="n"/>
      <c r="C197" s="29" t="n"/>
      <c r="D197" s="29" t="n"/>
      <c r="E197" s="29" t="n"/>
      <c r="F197" s="29" t="n"/>
      <c r="G197" s="29" t="n"/>
    </row>
    <row r="198">
      <c r="A198" s="31" t="n"/>
      <c r="B198" s="29" t="n"/>
      <c r="C198" s="29" t="n"/>
      <c r="D198" s="29" t="n"/>
      <c r="E198" s="29" t="n"/>
      <c r="F198" s="29" t="n"/>
      <c r="G198" s="29" t="n"/>
    </row>
    <row r="199">
      <c r="A199" s="31" t="n"/>
      <c r="B199" s="29" t="n"/>
      <c r="C199" s="29" t="n"/>
      <c r="D199" s="29" t="n"/>
      <c r="E199" s="29" t="n"/>
      <c r="F199" s="29" t="n"/>
      <c r="G199" s="29" t="n"/>
    </row>
    <row r="200">
      <c r="A200" s="31" t="n"/>
      <c r="B200" s="29" t="n"/>
      <c r="C200" s="29" t="n"/>
      <c r="D200" s="29" t="n"/>
      <c r="E200" s="29" t="n"/>
      <c r="F200" s="29" t="n"/>
      <c r="G200" s="29" t="n"/>
    </row>
    <row r="201">
      <c r="A201" s="31" t="n"/>
      <c r="B201" s="29" t="n"/>
      <c r="C201" s="29" t="n"/>
      <c r="D201" s="29" t="n"/>
      <c r="E201" s="29" t="n"/>
      <c r="F201" s="29" t="n"/>
      <c r="G201" s="29" t="n"/>
    </row>
    <row r="202">
      <c r="A202" s="31" t="n"/>
      <c r="B202" s="29" t="n"/>
      <c r="C202" s="29" t="n"/>
      <c r="D202" s="29" t="n"/>
      <c r="E202" s="29" t="n"/>
      <c r="F202" s="29" t="n"/>
      <c r="G202" s="29" t="n"/>
    </row>
    <row r="203">
      <c r="A203" s="31" t="n"/>
      <c r="B203" s="29" t="n"/>
      <c r="C203" s="29" t="n"/>
      <c r="D203" s="29" t="n"/>
      <c r="E203" s="29" t="n"/>
      <c r="F203" s="29" t="n"/>
      <c r="G203" s="29" t="n"/>
    </row>
    <row r="204">
      <c r="A204" s="31" t="n"/>
      <c r="B204" s="29" t="n"/>
      <c r="C204" s="29" t="n"/>
      <c r="D204" s="29" t="n"/>
      <c r="E204" s="29" t="n"/>
      <c r="F204" s="29" t="n"/>
      <c r="G204" s="29" t="n"/>
    </row>
  </sheetData>
  <mergeCells count="2">
    <mergeCell ref="A2:G2"/>
    <mergeCell ref="A1:G1"/>
  </mergeCells>
  <dataValidations count="1">
    <dataValidation sqref="B5:B204" showDropDown="0" showInputMessage="0" showErrorMessage="0" allowBlank="1" error="Valeur non autorisée." prompt="Choisis une valeur dans la liste." type="list">
      <formula1>=Parametres!$K$5:$K$9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Paramètres &amp; listes déroulantes</t>
        </is>
      </c>
    </row>
    <row r="2">
      <c r="A2" s="2" t="inlineStr">
        <is>
          <t>Modifie cette feuille seulement si tu veux changer les listes proposées.</t>
        </is>
      </c>
    </row>
    <row r="4">
      <c r="A4" s="37" t="inlineStr">
        <is>
          <t>Météo</t>
        </is>
      </c>
      <c r="C4" s="37" t="inlineStr">
        <is>
          <t>Réception</t>
        </is>
      </c>
      <c r="E4" s="37" t="inlineStr">
        <is>
          <t>Statut paiement</t>
        </is>
      </c>
      <c r="G4" s="37" t="inlineStr">
        <is>
          <t>Etat équipement</t>
        </is>
      </c>
      <c r="I4" s="37" t="inlineStr">
        <is>
          <t>Type incident</t>
        </is>
      </c>
      <c r="K4" s="37" t="inlineStr">
        <is>
          <t>Type sécurité</t>
        </is>
      </c>
      <c r="M4" s="37" t="inlineStr">
        <is>
          <t>Matériaux courants</t>
        </is>
      </c>
    </row>
    <row r="5">
      <c r="A5" s="38" t="inlineStr">
        <is>
          <t>Soleil</t>
        </is>
      </c>
      <c r="C5" s="38" t="inlineStr">
        <is>
          <t>Oui</t>
        </is>
      </c>
      <c r="E5" s="38" t="inlineStr">
        <is>
          <t>Payé</t>
        </is>
      </c>
      <c r="G5" s="38" t="inlineStr">
        <is>
          <t>Bon</t>
        </is>
      </c>
      <c r="I5" s="38" t="inlineStr">
        <is>
          <t>Retard</t>
        </is>
      </c>
      <c r="K5" s="38" t="inlineStr">
        <is>
          <t>EPI manquant</t>
        </is>
      </c>
      <c r="M5" s="38" t="inlineStr">
        <is>
          <t>Ciment</t>
        </is>
      </c>
    </row>
    <row r="6">
      <c r="A6" s="38" t="inlineStr">
        <is>
          <t>Nuageux</t>
        </is>
      </c>
      <c r="C6" s="38" t="inlineStr">
        <is>
          <t>Non</t>
        </is>
      </c>
      <c r="E6" s="38" t="inlineStr">
        <is>
          <t>En attente</t>
        </is>
      </c>
      <c r="G6" s="38" t="inlineStr">
        <is>
          <t>Moyen</t>
        </is>
      </c>
      <c r="I6" s="38" t="inlineStr">
        <is>
          <t>Accident</t>
        </is>
      </c>
      <c r="K6" s="38" t="inlineStr">
        <is>
          <t>Accident</t>
        </is>
      </c>
      <c r="M6" s="38" t="inlineStr">
        <is>
          <t>Fer</t>
        </is>
      </c>
    </row>
    <row r="7">
      <c r="A7" s="38" t="inlineStr">
        <is>
          <t>Pluie</t>
        </is>
      </c>
      <c r="E7" s="38" t="inlineStr">
        <is>
          <t>Partiel</t>
        </is>
      </c>
      <c r="G7" s="38" t="inlineStr">
        <is>
          <t>Mauvais</t>
        </is>
      </c>
      <c r="I7" s="38" t="inlineStr">
        <is>
          <t>Litige</t>
        </is>
      </c>
      <c r="K7" s="38" t="inlineStr">
        <is>
          <t>Quasi-accident</t>
        </is>
      </c>
      <c r="M7" s="38" t="inlineStr">
        <is>
          <t>Sable</t>
        </is>
      </c>
    </row>
    <row r="8">
      <c r="A8" s="38" t="inlineStr">
        <is>
          <t>Orage</t>
        </is>
      </c>
      <c r="G8" s="38" t="inlineStr">
        <is>
          <t>Hors service</t>
        </is>
      </c>
      <c r="I8" s="38" t="inlineStr">
        <is>
          <t>Rupture stock</t>
        </is>
      </c>
      <c r="K8" s="38" t="inlineStr">
        <is>
          <t>Non-respect consigne</t>
        </is>
      </c>
      <c r="M8" s="38" t="inlineStr">
        <is>
          <t>Gravier</t>
        </is>
      </c>
    </row>
    <row r="9">
      <c r="A9" s="38" t="inlineStr">
        <is>
          <t>Vent fort</t>
        </is>
      </c>
      <c r="I9" s="38" t="inlineStr">
        <is>
          <t>Panne</t>
        </is>
      </c>
      <c r="K9" s="38" t="inlineStr">
        <is>
          <t>RAS</t>
        </is>
      </c>
      <c r="M9" s="38" t="inlineStr">
        <is>
          <t>Briques</t>
        </is>
      </c>
    </row>
    <row r="10">
      <c r="I10" s="38" t="inlineStr">
        <is>
          <t>Autre</t>
        </is>
      </c>
      <c r="M10" s="38" t="inlineStr">
        <is>
          <t>Peinture</t>
        </is>
      </c>
    </row>
    <row r="11">
      <c r="M11" s="38" t="inlineStr">
        <is>
          <t>Bois</t>
        </is>
      </c>
    </row>
    <row r="12">
      <c r="M12" s="38" t="inlineStr">
        <is>
          <t>Carrelage</t>
        </is>
      </c>
    </row>
    <row r="13">
      <c r="M13" s="38" t="inlineStr">
        <is>
          <t>Autre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0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39" t="inlineStr">
        <is>
          <t>Clé</t>
        </is>
      </c>
      <c r="B1" s="39" t="inlineStr">
        <is>
          <t>Valeur</t>
        </is>
      </c>
      <c r="D1" s="39" t="inlineStr">
        <is>
          <t>Date journal</t>
        </is>
      </c>
      <c r="E1" s="39" t="inlineStr">
        <is>
          <t>Avancement %</t>
        </is>
      </c>
      <c r="G1" s="39" t="inlineStr">
        <is>
          <t>Statut paiement</t>
        </is>
      </c>
      <c r="H1" s="39" t="inlineStr">
        <is>
          <t>Nombre</t>
        </is>
      </c>
      <c r="J1" s="39" t="inlineStr">
        <is>
          <t>Type incident</t>
        </is>
      </c>
      <c r="K1" s="39" t="inlineStr">
        <is>
          <t>Nombre</t>
        </is>
      </c>
      <c r="M1" t="inlineStr">
        <is>
          <t>Type matériau</t>
        </is>
      </c>
      <c r="N1" t="inlineStr">
        <is>
          <t>Qté</t>
        </is>
      </c>
    </row>
    <row r="2">
      <c r="A2" t="inlineStr">
        <is>
          <t>Nom projet</t>
        </is>
      </c>
      <c r="B2">
        <f>Identification!B4</f>
        <v/>
      </c>
      <c r="D2">
        <f>Journal!A5</f>
        <v/>
      </c>
      <c r="E2">
        <f>Journal!C5</f>
        <v/>
      </c>
      <c r="G2" t="inlineStr">
        <is>
          <t>Payé</t>
        </is>
      </c>
      <c r="H2">
        <f>COUNTIF(Finances!G5:G404,"Payé")</f>
        <v/>
      </c>
      <c r="J2" t="inlineStr">
        <is>
          <t>Retard</t>
        </is>
      </c>
      <c r="K2">
        <f>COUNTIF(Incidents!B5:B204,"Retard")</f>
        <v/>
      </c>
      <c r="M2" t="inlineStr">
        <is>
          <t>Ciment</t>
        </is>
      </c>
      <c r="N2">
        <f>SUMIF(Materiaux!B5:B404,"Ciment",Materiaux!C5:C404)</f>
        <v/>
      </c>
    </row>
    <row r="3">
      <c r="A3" t="inlineStr">
        <is>
          <t>Code chantier</t>
        </is>
      </c>
      <c r="B3">
        <f>Identification!B6</f>
        <v/>
      </c>
      <c r="D3">
        <f>Journal!A6</f>
        <v/>
      </c>
      <c r="E3">
        <f>Journal!C6</f>
        <v/>
      </c>
      <c r="G3" t="inlineStr">
        <is>
          <t>En attente</t>
        </is>
      </c>
      <c r="H3">
        <f>COUNTIF(Finances!G5:G404,"En attente")</f>
        <v/>
      </c>
      <c r="J3" t="inlineStr">
        <is>
          <t>Accident</t>
        </is>
      </c>
      <c r="K3">
        <f>COUNTIF(Incidents!B5:B204,"Accident")</f>
        <v/>
      </c>
      <c r="M3" t="inlineStr">
        <is>
          <t>Fer</t>
        </is>
      </c>
      <c r="N3">
        <f>SUMIF(Materiaux!B5:B404,"Fer",Materiaux!C5:C404)</f>
        <v/>
      </c>
    </row>
    <row r="4">
      <c r="A4" t="inlineStr">
        <is>
          <t>Budget prévu</t>
        </is>
      </c>
      <c r="B4">
        <f>IFERROR(Identification!B18,0)</f>
        <v/>
      </c>
      <c r="D4">
        <f>Journal!A7</f>
        <v/>
      </c>
      <c r="E4">
        <f>Journal!C7</f>
        <v/>
      </c>
      <c r="G4" t="inlineStr">
        <is>
          <t>Partiel</t>
        </is>
      </c>
      <c r="H4">
        <f>COUNTIF(Finances!G5:G404,"Partiel")</f>
        <v/>
      </c>
      <c r="J4" t="inlineStr">
        <is>
          <t>Litige</t>
        </is>
      </c>
      <c r="K4">
        <f>COUNTIF(Incidents!B5:B204,"Litige")</f>
        <v/>
      </c>
      <c r="M4" t="inlineStr">
        <is>
          <t>Sable</t>
        </is>
      </c>
      <c r="N4">
        <f>SUMIF(Materiaux!B5:B404,"Sable",Materiaux!C5:C404)</f>
        <v/>
      </c>
    </row>
    <row r="5">
      <c r="A5" t="inlineStr">
        <is>
          <t>Avancement cible</t>
        </is>
      </c>
      <c r="B5">
        <f>IFERROR(Identification!B20,0)</f>
        <v/>
      </c>
      <c r="D5">
        <f>Journal!A8</f>
        <v/>
      </c>
      <c r="E5">
        <f>Journal!C8</f>
        <v/>
      </c>
      <c r="J5" t="inlineStr">
        <is>
          <t>Rupture stock</t>
        </is>
      </c>
      <c r="K5">
        <f>COUNTIF(Incidents!B5:B204,"Rupture stock")</f>
        <v/>
      </c>
      <c r="M5" t="inlineStr">
        <is>
          <t>Gravier</t>
        </is>
      </c>
      <c r="N5">
        <f>SUMIF(Materiaux!B5:B404,"Gravier",Materiaux!C5:C404)</f>
        <v/>
      </c>
    </row>
    <row r="6">
      <c r="A6" t="inlineStr">
        <is>
          <t>Dernière date journal</t>
        </is>
      </c>
      <c r="B6">
        <f>IFERROR(MAX(Journal!A5:A404),"")</f>
        <v/>
      </c>
      <c r="D6">
        <f>Journal!A9</f>
        <v/>
      </c>
      <c r="E6">
        <f>Journal!C9</f>
        <v/>
      </c>
      <c r="J6" t="inlineStr">
        <is>
          <t>Panne</t>
        </is>
      </c>
      <c r="K6">
        <f>COUNTIF(Incidents!B5:B204,"Panne")</f>
        <v/>
      </c>
      <c r="M6" t="inlineStr">
        <is>
          <t>Briques</t>
        </is>
      </c>
      <c r="N6">
        <f>SUMIF(Materiaux!B5:B404,"Briques",Materiaux!C5:C404)</f>
        <v/>
      </c>
    </row>
    <row r="7">
      <c r="A7" t="inlineStr">
        <is>
          <t>Avancement réel</t>
        </is>
      </c>
      <c r="B7">
        <f>IFERROR(LOOKUP(2,1/(Journal!C5:C404&lt;&gt;""),Journal!C5:C404),0)</f>
        <v/>
      </c>
      <c r="D7">
        <f>Journal!A10</f>
        <v/>
      </c>
      <c r="E7">
        <f>Journal!C10</f>
        <v/>
      </c>
      <c r="J7" t="inlineStr">
        <is>
          <t>Autre</t>
        </is>
      </c>
      <c r="K7">
        <f>COUNTIF(Incidents!B5:B204,"Autre")</f>
        <v/>
      </c>
      <c r="M7" t="inlineStr">
        <is>
          <t>Peinture</t>
        </is>
      </c>
      <c r="N7">
        <f>SUMIF(Materiaux!B5:B404,"Peinture",Materiaux!C5:C404)</f>
        <v/>
      </c>
    </row>
    <row r="8">
      <c r="A8" t="inlineStr">
        <is>
          <t>Effectif moyen</t>
        </is>
      </c>
      <c r="B8">
        <f>IFERROR(AVERAGEIF(Journal!D5:D404,"&gt;0"),0)</f>
        <v/>
      </c>
      <c r="D8">
        <f>Journal!A11</f>
        <v/>
      </c>
      <c r="E8">
        <f>Journal!C11</f>
        <v/>
      </c>
      <c r="M8" t="inlineStr">
        <is>
          <t>Bois</t>
        </is>
      </c>
      <c r="N8">
        <f>SUMIF(Materiaux!B5:B404,"Bois",Materiaux!C5:C404)</f>
        <v/>
      </c>
    </row>
    <row r="9">
      <c r="A9" t="inlineStr">
        <is>
          <t>Nb jours suivis</t>
        </is>
      </c>
      <c r="B9">
        <f>COUNT(Journal!A5:A404)</f>
        <v/>
      </c>
      <c r="D9">
        <f>Journal!A12</f>
        <v/>
      </c>
      <c r="E9">
        <f>Journal!C12</f>
        <v/>
      </c>
      <c r="M9" t="inlineStr">
        <is>
          <t>Carrelage</t>
        </is>
      </c>
      <c r="N9">
        <f>SUMIF(Materiaux!B5:B404,"Carrelage",Materiaux!C5:C404)</f>
        <v/>
      </c>
    </row>
    <row r="10">
      <c r="A10" t="inlineStr">
        <is>
          <t>Total dépenses prévues</t>
        </is>
      </c>
      <c r="B10">
        <f>SUM(Finances!D5:D404)</f>
        <v/>
      </c>
      <c r="D10">
        <f>Journal!A13</f>
        <v/>
      </c>
      <c r="E10">
        <f>Journal!C13</f>
        <v/>
      </c>
      <c r="M10" t="inlineStr">
        <is>
          <t>Autre</t>
        </is>
      </c>
      <c r="N10">
        <f>SUMIF(Materiaux!B5:B404,"Autre",Materiaux!C5:C404)</f>
        <v/>
      </c>
    </row>
    <row r="11">
      <c r="A11" t="inlineStr">
        <is>
          <t>Total dépenses réelles</t>
        </is>
      </c>
      <c r="B11">
        <f>SUM(Finances!E5:E404)</f>
        <v/>
      </c>
      <c r="D11">
        <f>Journal!A14</f>
        <v/>
      </c>
      <c r="E11">
        <f>Journal!C14</f>
        <v/>
      </c>
    </row>
    <row r="12">
      <c r="A12" t="inlineStr">
        <is>
          <t>Taux conso budget</t>
        </is>
      </c>
      <c r="B12">
        <f>IFERROR(B10/B3,0)</f>
        <v/>
      </c>
      <c r="D12">
        <f>Journal!A15</f>
        <v/>
      </c>
      <c r="E12">
        <f>Journal!C15</f>
        <v/>
      </c>
    </row>
    <row r="13">
      <c r="A13" t="inlineStr">
        <is>
          <t>Nb incidents</t>
        </is>
      </c>
      <c r="B13">
        <f>COUNT(Incidents!A5:A204)</f>
        <v/>
      </c>
      <c r="D13">
        <f>Journal!A16</f>
        <v/>
      </c>
      <c r="E13">
        <f>Journal!C16</f>
        <v/>
      </c>
    </row>
    <row r="14">
      <c r="A14" t="inlineStr">
        <is>
          <t>Nb non conformités</t>
        </is>
      </c>
      <c r="B14">
        <f>COUNTIF(Qualite!C5:C204,"&lt;&gt;")</f>
        <v/>
      </c>
      <c r="D14">
        <f>Journal!A17</f>
        <v/>
      </c>
      <c r="E14">
        <f>Journal!C17</f>
        <v/>
      </c>
    </row>
    <row r="15">
      <c r="A15" t="inlineStr">
        <is>
          <t>Nb incidents sécurité</t>
        </is>
      </c>
      <c r="B15">
        <f>COUNT(Securite!A5:A204)</f>
        <v/>
      </c>
      <c r="D15">
        <f>Journal!A18</f>
        <v/>
      </c>
      <c r="E15">
        <f>Journal!C18</f>
        <v/>
      </c>
    </row>
    <row r="16">
      <c r="A16" t="inlineStr">
        <is>
          <t>Nb livraisons matériaux</t>
        </is>
      </c>
      <c r="B16">
        <f>COUNT(Materiaux!A5:A404)</f>
        <v/>
      </c>
      <c r="D16">
        <f>Journal!A19</f>
        <v/>
      </c>
      <c r="E16">
        <f>Journal!C19</f>
        <v/>
      </c>
    </row>
    <row r="17">
      <c r="A17" t="inlineStr">
        <is>
          <t>Valeur matériaux</t>
        </is>
      </c>
      <c r="B17">
        <f>SUM(Materiaux!H5:H404)</f>
        <v/>
      </c>
      <c r="D17">
        <f>Journal!A20</f>
        <v/>
      </c>
      <c r="E17">
        <f>Journal!C20</f>
        <v/>
      </c>
    </row>
    <row r="18">
      <c r="A18" t="inlineStr">
        <is>
          <t>Écart budget</t>
        </is>
      </c>
      <c r="B18">
        <f>B10-B3</f>
        <v/>
      </c>
      <c r="D18">
        <f>Journal!A21</f>
        <v/>
      </c>
      <c r="E18">
        <f>Journal!C21</f>
        <v/>
      </c>
    </row>
    <row r="19">
      <c r="A19" t="inlineStr">
        <is>
          <t>Retard vs cible</t>
        </is>
      </c>
      <c r="B19">
        <f>B6-B4</f>
        <v/>
      </c>
      <c r="D19">
        <f>Journal!A22</f>
        <v/>
      </c>
      <c r="E19">
        <f>Journal!C22</f>
        <v/>
      </c>
    </row>
    <row r="20">
      <c r="D20">
        <f>Journal!A23</f>
        <v/>
      </c>
      <c r="E20">
        <f>Journal!C23</f>
        <v/>
      </c>
    </row>
    <row r="21">
      <c r="D21">
        <f>Journal!A24</f>
        <v/>
      </c>
      <c r="E21">
        <f>Journal!C24</f>
        <v/>
      </c>
    </row>
    <row r="22">
      <c r="D22">
        <f>Journal!A25</f>
        <v/>
      </c>
      <c r="E22">
        <f>Journal!C25</f>
        <v/>
      </c>
    </row>
    <row r="23">
      <c r="D23">
        <f>Journal!A26</f>
        <v/>
      </c>
      <c r="E23">
        <f>Journal!C26</f>
        <v/>
      </c>
    </row>
    <row r="24">
      <c r="D24">
        <f>Journal!A27</f>
        <v/>
      </c>
      <c r="E24">
        <f>Journal!C27</f>
        <v/>
      </c>
    </row>
    <row r="25">
      <c r="D25">
        <f>Journal!A28</f>
        <v/>
      </c>
      <c r="E25">
        <f>Journal!C28</f>
        <v/>
      </c>
    </row>
    <row r="26">
      <c r="D26">
        <f>Journal!A29</f>
        <v/>
      </c>
      <c r="E26">
        <f>Journal!C29</f>
        <v/>
      </c>
    </row>
    <row r="27">
      <c r="D27">
        <f>Journal!A30</f>
        <v/>
      </c>
      <c r="E27">
        <f>Journal!C30</f>
        <v/>
      </c>
    </row>
    <row r="28">
      <c r="D28">
        <f>Journal!A31</f>
        <v/>
      </c>
      <c r="E28">
        <f>Journal!C31</f>
        <v/>
      </c>
    </row>
    <row r="29">
      <c r="D29">
        <f>Journal!A32</f>
        <v/>
      </c>
      <c r="E29">
        <f>Journal!C32</f>
        <v/>
      </c>
    </row>
    <row r="30">
      <c r="D30">
        <f>Journal!A33</f>
        <v/>
      </c>
      <c r="E30">
        <f>Journal!C33</f>
        <v/>
      </c>
    </row>
    <row r="31">
      <c r="D31">
        <f>Journal!A34</f>
        <v/>
      </c>
      <c r="E31">
        <f>Journal!C34</f>
        <v/>
      </c>
    </row>
    <row r="32">
      <c r="D32">
        <f>Journal!A35</f>
        <v/>
      </c>
      <c r="E32">
        <f>Journal!C35</f>
        <v/>
      </c>
    </row>
    <row r="33">
      <c r="D33">
        <f>Journal!A36</f>
        <v/>
      </c>
      <c r="E33">
        <f>Journal!C36</f>
        <v/>
      </c>
    </row>
    <row r="34">
      <c r="D34">
        <f>Journal!A37</f>
        <v/>
      </c>
      <c r="E34">
        <f>Journal!C37</f>
        <v/>
      </c>
    </row>
    <row r="35">
      <c r="D35">
        <f>Journal!A38</f>
        <v/>
      </c>
      <c r="E35">
        <f>Journal!C38</f>
        <v/>
      </c>
    </row>
    <row r="36">
      <c r="D36">
        <f>Journal!A39</f>
        <v/>
      </c>
      <c r="E36">
        <f>Journal!C39</f>
        <v/>
      </c>
    </row>
    <row r="37">
      <c r="D37">
        <f>Journal!A40</f>
        <v/>
      </c>
      <c r="E37">
        <f>Journal!C40</f>
        <v/>
      </c>
    </row>
    <row r="38">
      <c r="D38">
        <f>Journal!A41</f>
        <v/>
      </c>
      <c r="E38">
        <f>Journal!C41</f>
        <v/>
      </c>
    </row>
    <row r="39">
      <c r="D39">
        <f>Journal!A42</f>
        <v/>
      </c>
      <c r="E39">
        <f>Journal!C42</f>
        <v/>
      </c>
    </row>
    <row r="40">
      <c r="D40">
        <f>Journal!A43</f>
        <v/>
      </c>
      <c r="E40">
        <f>Journal!C43</f>
        <v/>
      </c>
    </row>
    <row r="41">
      <c r="D41">
        <f>Journal!A44</f>
        <v/>
      </c>
      <c r="E41">
        <f>Journal!C44</f>
        <v/>
      </c>
    </row>
    <row r="42">
      <c r="D42">
        <f>Journal!A45</f>
        <v/>
      </c>
      <c r="E42">
        <f>Journal!C45</f>
        <v/>
      </c>
    </row>
    <row r="43">
      <c r="D43">
        <f>Journal!A46</f>
        <v/>
      </c>
      <c r="E43">
        <f>Journal!C46</f>
        <v/>
      </c>
    </row>
    <row r="44">
      <c r="D44">
        <f>Journal!A47</f>
        <v/>
      </c>
      <c r="E44">
        <f>Journal!C47</f>
        <v/>
      </c>
    </row>
    <row r="45">
      <c r="D45">
        <f>Journal!A48</f>
        <v/>
      </c>
      <c r="E45">
        <f>Journal!C48</f>
        <v/>
      </c>
    </row>
    <row r="46">
      <c r="D46">
        <f>Journal!A49</f>
        <v/>
      </c>
      <c r="E46">
        <f>Journal!C49</f>
        <v/>
      </c>
    </row>
    <row r="47">
      <c r="D47">
        <f>Journal!A50</f>
        <v/>
      </c>
      <c r="E47">
        <f>Journal!C50</f>
        <v/>
      </c>
    </row>
    <row r="48">
      <c r="D48">
        <f>Journal!A51</f>
        <v/>
      </c>
      <c r="E48">
        <f>Journal!C51</f>
        <v/>
      </c>
    </row>
    <row r="49">
      <c r="D49">
        <f>Journal!A52</f>
        <v/>
      </c>
      <c r="E49">
        <f>Journal!C52</f>
        <v/>
      </c>
    </row>
    <row r="50">
      <c r="D50">
        <f>Journal!A53</f>
        <v/>
      </c>
      <c r="E50">
        <f>Journal!C53</f>
        <v/>
      </c>
    </row>
    <row r="51">
      <c r="D51">
        <f>Journal!A54</f>
        <v/>
      </c>
      <c r="E51">
        <f>Journal!C54</f>
        <v/>
      </c>
    </row>
    <row r="52">
      <c r="D52">
        <f>Journal!A55</f>
        <v/>
      </c>
      <c r="E52">
        <f>Journal!C55</f>
        <v/>
      </c>
    </row>
    <row r="53">
      <c r="D53">
        <f>Journal!A56</f>
        <v/>
      </c>
      <c r="E53">
        <f>Journal!C56</f>
        <v/>
      </c>
    </row>
    <row r="54">
      <c r="D54">
        <f>Journal!A57</f>
        <v/>
      </c>
      <c r="E54">
        <f>Journal!C57</f>
        <v/>
      </c>
    </row>
    <row r="55">
      <c r="D55">
        <f>Journal!A58</f>
        <v/>
      </c>
      <c r="E55">
        <f>Journal!C58</f>
        <v/>
      </c>
    </row>
    <row r="56">
      <c r="D56">
        <f>Journal!A59</f>
        <v/>
      </c>
      <c r="E56">
        <f>Journal!C59</f>
        <v/>
      </c>
    </row>
    <row r="57">
      <c r="D57">
        <f>Journal!A60</f>
        <v/>
      </c>
      <c r="E57">
        <f>Journal!C60</f>
        <v/>
      </c>
    </row>
    <row r="58">
      <c r="D58">
        <f>Journal!A61</f>
        <v/>
      </c>
      <c r="E58">
        <f>Journal!C61</f>
        <v/>
      </c>
    </row>
    <row r="59">
      <c r="D59">
        <f>Journal!A62</f>
        <v/>
      </c>
      <c r="E59">
        <f>Journal!C62</f>
        <v/>
      </c>
    </row>
    <row r="60">
      <c r="D60">
        <f>Journal!A63</f>
        <v/>
      </c>
      <c r="E60">
        <f>Journal!C63</f>
        <v/>
      </c>
    </row>
    <row r="61">
      <c r="D61">
        <f>Journal!A64</f>
        <v/>
      </c>
      <c r="E61">
        <f>Journal!C64</f>
        <v/>
      </c>
    </row>
    <row r="62">
      <c r="D62">
        <f>Journal!A65</f>
        <v/>
      </c>
      <c r="E62">
        <f>Journal!C65</f>
        <v/>
      </c>
    </row>
    <row r="63">
      <c r="D63">
        <f>Journal!A66</f>
        <v/>
      </c>
      <c r="E63">
        <f>Journal!C66</f>
        <v/>
      </c>
    </row>
    <row r="64">
      <c r="D64">
        <f>Journal!A67</f>
        <v/>
      </c>
      <c r="E64">
        <f>Journal!C67</f>
        <v/>
      </c>
    </row>
    <row r="65">
      <c r="D65">
        <f>Journal!A68</f>
        <v/>
      </c>
      <c r="E65">
        <f>Journal!C68</f>
        <v/>
      </c>
    </row>
    <row r="66">
      <c r="D66">
        <f>Journal!A69</f>
        <v/>
      </c>
      <c r="E66">
        <f>Journal!C69</f>
        <v/>
      </c>
    </row>
    <row r="67">
      <c r="D67">
        <f>Journal!A70</f>
        <v/>
      </c>
      <c r="E67">
        <f>Journal!C70</f>
        <v/>
      </c>
    </row>
    <row r="68">
      <c r="D68">
        <f>Journal!A71</f>
        <v/>
      </c>
      <c r="E68">
        <f>Journal!C71</f>
        <v/>
      </c>
    </row>
    <row r="69">
      <c r="D69">
        <f>Journal!A72</f>
        <v/>
      </c>
      <c r="E69">
        <f>Journal!C72</f>
        <v/>
      </c>
    </row>
    <row r="70">
      <c r="D70">
        <f>Journal!A73</f>
        <v/>
      </c>
      <c r="E70">
        <f>Journal!C73</f>
        <v/>
      </c>
    </row>
    <row r="71">
      <c r="D71">
        <f>Journal!A74</f>
        <v/>
      </c>
      <c r="E71">
        <f>Journal!C74</f>
        <v/>
      </c>
    </row>
    <row r="72">
      <c r="D72">
        <f>Journal!A75</f>
        <v/>
      </c>
      <c r="E72">
        <f>Journal!C75</f>
        <v/>
      </c>
    </row>
    <row r="73">
      <c r="D73">
        <f>Journal!A76</f>
        <v/>
      </c>
      <c r="E73">
        <f>Journal!C76</f>
        <v/>
      </c>
    </row>
    <row r="74">
      <c r="D74">
        <f>Journal!A77</f>
        <v/>
      </c>
      <c r="E74">
        <f>Journal!C77</f>
        <v/>
      </c>
    </row>
    <row r="75">
      <c r="D75">
        <f>Journal!A78</f>
        <v/>
      </c>
      <c r="E75">
        <f>Journal!C78</f>
        <v/>
      </c>
    </row>
    <row r="76">
      <c r="D76">
        <f>Journal!A79</f>
        <v/>
      </c>
      <c r="E76">
        <f>Journal!C79</f>
        <v/>
      </c>
    </row>
    <row r="77">
      <c r="D77">
        <f>Journal!A80</f>
        <v/>
      </c>
      <c r="E77">
        <f>Journal!C80</f>
        <v/>
      </c>
    </row>
    <row r="78">
      <c r="D78">
        <f>Journal!A81</f>
        <v/>
      </c>
      <c r="E78">
        <f>Journal!C81</f>
        <v/>
      </c>
    </row>
    <row r="79">
      <c r="D79">
        <f>Journal!A82</f>
        <v/>
      </c>
      <c r="E79">
        <f>Journal!C82</f>
        <v/>
      </c>
    </row>
    <row r="80">
      <c r="D80">
        <f>Journal!A83</f>
        <v/>
      </c>
      <c r="E80">
        <f>Journal!C83</f>
        <v/>
      </c>
    </row>
    <row r="81">
      <c r="D81">
        <f>Journal!A84</f>
        <v/>
      </c>
      <c r="E81">
        <f>Journal!C84</f>
        <v/>
      </c>
    </row>
    <row r="82">
      <c r="D82">
        <f>Journal!A85</f>
        <v/>
      </c>
      <c r="E82">
        <f>Journal!C85</f>
        <v/>
      </c>
    </row>
    <row r="83">
      <c r="D83">
        <f>Journal!A86</f>
        <v/>
      </c>
      <c r="E83">
        <f>Journal!C86</f>
        <v/>
      </c>
    </row>
    <row r="84">
      <c r="D84">
        <f>Journal!A87</f>
        <v/>
      </c>
      <c r="E84">
        <f>Journal!C87</f>
        <v/>
      </c>
    </row>
    <row r="85">
      <c r="D85">
        <f>Journal!A88</f>
        <v/>
      </c>
      <c r="E85">
        <f>Journal!C88</f>
        <v/>
      </c>
    </row>
    <row r="86">
      <c r="D86">
        <f>Journal!A89</f>
        <v/>
      </c>
      <c r="E86">
        <f>Journal!C89</f>
        <v/>
      </c>
    </row>
    <row r="87">
      <c r="D87">
        <f>Journal!A90</f>
        <v/>
      </c>
      <c r="E87">
        <f>Journal!C90</f>
        <v/>
      </c>
    </row>
    <row r="88">
      <c r="D88">
        <f>Journal!A91</f>
        <v/>
      </c>
      <c r="E88">
        <f>Journal!C91</f>
        <v/>
      </c>
    </row>
    <row r="89">
      <c r="D89">
        <f>Journal!A92</f>
        <v/>
      </c>
      <c r="E89">
        <f>Journal!C92</f>
        <v/>
      </c>
    </row>
    <row r="90">
      <c r="D90">
        <f>Journal!A93</f>
        <v/>
      </c>
      <c r="E90">
        <f>Journal!C93</f>
        <v/>
      </c>
    </row>
    <row r="91">
      <c r="D91">
        <f>Journal!A94</f>
        <v/>
      </c>
      <c r="E91">
        <f>Journal!C94</f>
        <v/>
      </c>
    </row>
    <row r="92">
      <c r="D92">
        <f>Journal!A95</f>
        <v/>
      </c>
      <c r="E92">
        <f>Journal!C95</f>
        <v/>
      </c>
    </row>
    <row r="93">
      <c r="D93">
        <f>Journal!A96</f>
        <v/>
      </c>
      <c r="E93">
        <f>Journal!C96</f>
        <v/>
      </c>
    </row>
    <row r="94">
      <c r="D94">
        <f>Journal!A97</f>
        <v/>
      </c>
      <c r="E94">
        <f>Journal!C97</f>
        <v/>
      </c>
    </row>
    <row r="95">
      <c r="D95">
        <f>Journal!A98</f>
        <v/>
      </c>
      <c r="E95">
        <f>Journal!C98</f>
        <v/>
      </c>
    </row>
    <row r="96">
      <c r="D96">
        <f>Journal!A99</f>
        <v/>
      </c>
      <c r="E96">
        <f>Journal!C99</f>
        <v/>
      </c>
    </row>
    <row r="97">
      <c r="D97">
        <f>Journal!A100</f>
        <v/>
      </c>
      <c r="E97">
        <f>Journal!C100</f>
        <v/>
      </c>
    </row>
    <row r="98">
      <c r="D98">
        <f>Journal!A101</f>
        <v/>
      </c>
      <c r="E98">
        <f>Journal!C101</f>
        <v/>
      </c>
    </row>
    <row r="99">
      <c r="D99">
        <f>Journal!A102</f>
        <v/>
      </c>
      <c r="E99">
        <f>Journal!C102</f>
        <v/>
      </c>
    </row>
    <row r="100">
      <c r="D100">
        <f>Journal!A103</f>
        <v/>
      </c>
      <c r="E100">
        <f>Journal!C103</f>
        <v/>
      </c>
    </row>
    <row r="101">
      <c r="D101">
        <f>Journal!A104</f>
        <v/>
      </c>
      <c r="E101">
        <f>Journal!C104</f>
        <v/>
      </c>
    </row>
    <row r="102">
      <c r="D102">
        <f>Journal!A105</f>
        <v/>
      </c>
      <c r="E102">
        <f>Journal!C105</f>
        <v/>
      </c>
    </row>
    <row r="103">
      <c r="D103">
        <f>Journal!A106</f>
        <v/>
      </c>
      <c r="E103">
        <f>Journal!C106</f>
        <v/>
      </c>
    </row>
    <row r="104">
      <c r="D104">
        <f>Journal!A107</f>
        <v/>
      </c>
      <c r="E104">
        <f>Journal!C107</f>
        <v/>
      </c>
    </row>
    <row r="105">
      <c r="D105">
        <f>Journal!A108</f>
        <v/>
      </c>
      <c r="E105">
        <f>Journal!C108</f>
        <v/>
      </c>
    </row>
    <row r="106">
      <c r="D106">
        <f>Journal!A109</f>
        <v/>
      </c>
      <c r="E106">
        <f>Journal!C109</f>
        <v/>
      </c>
    </row>
    <row r="107">
      <c r="D107">
        <f>Journal!A110</f>
        <v/>
      </c>
      <c r="E107">
        <f>Journal!C110</f>
        <v/>
      </c>
    </row>
    <row r="108">
      <c r="D108">
        <f>Journal!A111</f>
        <v/>
      </c>
      <c r="E108">
        <f>Journal!C111</f>
        <v/>
      </c>
    </row>
    <row r="109">
      <c r="D109">
        <f>Journal!A112</f>
        <v/>
      </c>
      <c r="E109">
        <f>Journal!C112</f>
        <v/>
      </c>
    </row>
    <row r="110">
      <c r="D110">
        <f>Journal!A113</f>
        <v/>
      </c>
      <c r="E110">
        <f>Journal!C113</f>
        <v/>
      </c>
    </row>
    <row r="111">
      <c r="D111">
        <f>Journal!A114</f>
        <v/>
      </c>
      <c r="E111">
        <f>Journal!C114</f>
        <v/>
      </c>
    </row>
    <row r="112">
      <c r="D112">
        <f>Journal!A115</f>
        <v/>
      </c>
      <c r="E112">
        <f>Journal!C115</f>
        <v/>
      </c>
    </row>
    <row r="113">
      <c r="D113">
        <f>Journal!A116</f>
        <v/>
      </c>
      <c r="E113">
        <f>Journal!C116</f>
        <v/>
      </c>
    </row>
    <row r="114">
      <c r="D114">
        <f>Journal!A117</f>
        <v/>
      </c>
      <c r="E114">
        <f>Journal!C117</f>
        <v/>
      </c>
    </row>
    <row r="115">
      <c r="D115">
        <f>Journal!A118</f>
        <v/>
      </c>
      <c r="E115">
        <f>Journal!C118</f>
        <v/>
      </c>
    </row>
    <row r="116">
      <c r="D116">
        <f>Journal!A119</f>
        <v/>
      </c>
      <c r="E116">
        <f>Journal!C119</f>
        <v/>
      </c>
    </row>
    <row r="117">
      <c r="D117">
        <f>Journal!A120</f>
        <v/>
      </c>
      <c r="E117">
        <f>Journal!C120</f>
        <v/>
      </c>
    </row>
    <row r="118">
      <c r="D118">
        <f>Journal!A121</f>
        <v/>
      </c>
      <c r="E118">
        <f>Journal!C121</f>
        <v/>
      </c>
    </row>
    <row r="119">
      <c r="D119">
        <f>Journal!A122</f>
        <v/>
      </c>
      <c r="E119">
        <f>Journal!C122</f>
        <v/>
      </c>
    </row>
    <row r="120">
      <c r="D120">
        <f>Journal!A123</f>
        <v/>
      </c>
      <c r="E120">
        <f>Journal!C123</f>
        <v/>
      </c>
    </row>
    <row r="121">
      <c r="D121">
        <f>Journal!A124</f>
        <v/>
      </c>
      <c r="E121">
        <f>Journal!C124</f>
        <v/>
      </c>
    </row>
    <row r="122">
      <c r="D122">
        <f>Journal!A125</f>
        <v/>
      </c>
      <c r="E122">
        <f>Journal!C125</f>
        <v/>
      </c>
    </row>
    <row r="123">
      <c r="D123">
        <f>Journal!A126</f>
        <v/>
      </c>
      <c r="E123">
        <f>Journal!C126</f>
        <v/>
      </c>
    </row>
    <row r="124">
      <c r="D124">
        <f>Journal!A127</f>
        <v/>
      </c>
      <c r="E124">
        <f>Journal!C127</f>
        <v/>
      </c>
    </row>
    <row r="125">
      <c r="D125">
        <f>Journal!A128</f>
        <v/>
      </c>
      <c r="E125">
        <f>Journal!C128</f>
        <v/>
      </c>
    </row>
    <row r="126">
      <c r="D126">
        <f>Journal!A129</f>
        <v/>
      </c>
      <c r="E126">
        <f>Journal!C129</f>
        <v/>
      </c>
    </row>
    <row r="127">
      <c r="D127">
        <f>Journal!A130</f>
        <v/>
      </c>
      <c r="E127">
        <f>Journal!C130</f>
        <v/>
      </c>
    </row>
    <row r="128">
      <c r="D128">
        <f>Journal!A131</f>
        <v/>
      </c>
      <c r="E128">
        <f>Journal!C131</f>
        <v/>
      </c>
    </row>
    <row r="129">
      <c r="D129">
        <f>Journal!A132</f>
        <v/>
      </c>
      <c r="E129">
        <f>Journal!C132</f>
        <v/>
      </c>
    </row>
    <row r="130">
      <c r="D130">
        <f>Journal!A133</f>
        <v/>
      </c>
      <c r="E130">
        <f>Journal!C133</f>
        <v/>
      </c>
    </row>
    <row r="131">
      <c r="D131">
        <f>Journal!A134</f>
        <v/>
      </c>
      <c r="E131">
        <f>Journal!C134</f>
        <v/>
      </c>
    </row>
    <row r="132">
      <c r="D132">
        <f>Journal!A135</f>
        <v/>
      </c>
      <c r="E132">
        <f>Journal!C135</f>
        <v/>
      </c>
    </row>
    <row r="133">
      <c r="D133">
        <f>Journal!A136</f>
        <v/>
      </c>
      <c r="E133">
        <f>Journal!C136</f>
        <v/>
      </c>
    </row>
    <row r="134">
      <c r="D134">
        <f>Journal!A137</f>
        <v/>
      </c>
      <c r="E134">
        <f>Journal!C137</f>
        <v/>
      </c>
    </row>
    <row r="135">
      <c r="D135">
        <f>Journal!A138</f>
        <v/>
      </c>
      <c r="E135">
        <f>Journal!C138</f>
        <v/>
      </c>
    </row>
    <row r="136">
      <c r="D136">
        <f>Journal!A139</f>
        <v/>
      </c>
      <c r="E136">
        <f>Journal!C139</f>
        <v/>
      </c>
    </row>
    <row r="137">
      <c r="D137">
        <f>Journal!A140</f>
        <v/>
      </c>
      <c r="E137">
        <f>Journal!C140</f>
        <v/>
      </c>
    </row>
    <row r="138">
      <c r="D138">
        <f>Journal!A141</f>
        <v/>
      </c>
      <c r="E138">
        <f>Journal!C141</f>
        <v/>
      </c>
    </row>
    <row r="139">
      <c r="D139">
        <f>Journal!A142</f>
        <v/>
      </c>
      <c r="E139">
        <f>Journal!C142</f>
        <v/>
      </c>
    </row>
    <row r="140">
      <c r="D140">
        <f>Journal!A143</f>
        <v/>
      </c>
      <c r="E140">
        <f>Journal!C143</f>
        <v/>
      </c>
    </row>
    <row r="141">
      <c r="D141">
        <f>Journal!A144</f>
        <v/>
      </c>
      <c r="E141">
        <f>Journal!C144</f>
        <v/>
      </c>
    </row>
    <row r="142">
      <c r="D142">
        <f>Journal!A145</f>
        <v/>
      </c>
      <c r="E142">
        <f>Journal!C145</f>
        <v/>
      </c>
    </row>
    <row r="143">
      <c r="D143">
        <f>Journal!A146</f>
        <v/>
      </c>
      <c r="E143">
        <f>Journal!C146</f>
        <v/>
      </c>
    </row>
    <row r="144">
      <c r="D144">
        <f>Journal!A147</f>
        <v/>
      </c>
      <c r="E144">
        <f>Journal!C147</f>
        <v/>
      </c>
    </row>
    <row r="145">
      <c r="D145">
        <f>Journal!A148</f>
        <v/>
      </c>
      <c r="E145">
        <f>Journal!C148</f>
        <v/>
      </c>
    </row>
    <row r="146">
      <c r="D146">
        <f>Journal!A149</f>
        <v/>
      </c>
      <c r="E146">
        <f>Journal!C149</f>
        <v/>
      </c>
    </row>
    <row r="147">
      <c r="D147">
        <f>Journal!A150</f>
        <v/>
      </c>
      <c r="E147">
        <f>Journal!C150</f>
        <v/>
      </c>
    </row>
    <row r="148">
      <c r="D148">
        <f>Journal!A151</f>
        <v/>
      </c>
      <c r="E148">
        <f>Journal!C151</f>
        <v/>
      </c>
    </row>
    <row r="149">
      <c r="D149">
        <f>Journal!A152</f>
        <v/>
      </c>
      <c r="E149">
        <f>Journal!C152</f>
        <v/>
      </c>
    </row>
    <row r="150">
      <c r="D150">
        <f>Journal!A153</f>
        <v/>
      </c>
      <c r="E150">
        <f>Journal!C153</f>
        <v/>
      </c>
    </row>
    <row r="151">
      <c r="D151">
        <f>Journal!A154</f>
        <v/>
      </c>
      <c r="E151">
        <f>Journal!C154</f>
        <v/>
      </c>
    </row>
    <row r="152">
      <c r="D152">
        <f>Journal!A155</f>
        <v/>
      </c>
      <c r="E152">
        <f>Journal!C155</f>
        <v/>
      </c>
    </row>
    <row r="153">
      <c r="D153">
        <f>Journal!A156</f>
        <v/>
      </c>
      <c r="E153">
        <f>Journal!C156</f>
        <v/>
      </c>
    </row>
    <row r="154">
      <c r="D154">
        <f>Journal!A157</f>
        <v/>
      </c>
      <c r="E154">
        <f>Journal!C157</f>
        <v/>
      </c>
    </row>
    <row r="155">
      <c r="D155">
        <f>Journal!A158</f>
        <v/>
      </c>
      <c r="E155">
        <f>Journal!C158</f>
        <v/>
      </c>
    </row>
    <row r="156">
      <c r="D156">
        <f>Journal!A159</f>
        <v/>
      </c>
      <c r="E156">
        <f>Journal!C159</f>
        <v/>
      </c>
    </row>
    <row r="157">
      <c r="D157">
        <f>Journal!A160</f>
        <v/>
      </c>
      <c r="E157">
        <f>Journal!C160</f>
        <v/>
      </c>
    </row>
    <row r="158">
      <c r="D158">
        <f>Journal!A161</f>
        <v/>
      </c>
      <c r="E158">
        <f>Journal!C161</f>
        <v/>
      </c>
    </row>
    <row r="159">
      <c r="D159">
        <f>Journal!A162</f>
        <v/>
      </c>
      <c r="E159">
        <f>Journal!C162</f>
        <v/>
      </c>
    </row>
    <row r="160">
      <c r="D160">
        <f>Journal!A163</f>
        <v/>
      </c>
      <c r="E160">
        <f>Journal!C163</f>
        <v/>
      </c>
    </row>
    <row r="161">
      <c r="D161">
        <f>Journal!A164</f>
        <v/>
      </c>
      <c r="E161">
        <f>Journal!C164</f>
        <v/>
      </c>
    </row>
    <row r="162">
      <c r="D162">
        <f>Journal!A165</f>
        <v/>
      </c>
      <c r="E162">
        <f>Journal!C165</f>
        <v/>
      </c>
    </row>
    <row r="163">
      <c r="D163">
        <f>Journal!A166</f>
        <v/>
      </c>
      <c r="E163">
        <f>Journal!C166</f>
        <v/>
      </c>
    </row>
    <row r="164">
      <c r="D164">
        <f>Journal!A167</f>
        <v/>
      </c>
      <c r="E164">
        <f>Journal!C167</f>
        <v/>
      </c>
    </row>
    <row r="165">
      <c r="D165">
        <f>Journal!A168</f>
        <v/>
      </c>
      <c r="E165">
        <f>Journal!C168</f>
        <v/>
      </c>
    </row>
    <row r="166">
      <c r="D166">
        <f>Journal!A169</f>
        <v/>
      </c>
      <c r="E166">
        <f>Journal!C169</f>
        <v/>
      </c>
    </row>
    <row r="167">
      <c r="D167">
        <f>Journal!A170</f>
        <v/>
      </c>
      <c r="E167">
        <f>Journal!C170</f>
        <v/>
      </c>
    </row>
    <row r="168">
      <c r="D168">
        <f>Journal!A171</f>
        <v/>
      </c>
      <c r="E168">
        <f>Journal!C171</f>
        <v/>
      </c>
    </row>
    <row r="169">
      <c r="D169">
        <f>Journal!A172</f>
        <v/>
      </c>
      <c r="E169">
        <f>Journal!C172</f>
        <v/>
      </c>
    </row>
    <row r="170">
      <c r="D170">
        <f>Journal!A173</f>
        <v/>
      </c>
      <c r="E170">
        <f>Journal!C173</f>
        <v/>
      </c>
    </row>
    <row r="171">
      <c r="D171">
        <f>Journal!A174</f>
        <v/>
      </c>
      <c r="E171">
        <f>Journal!C174</f>
        <v/>
      </c>
    </row>
    <row r="172">
      <c r="D172">
        <f>Journal!A175</f>
        <v/>
      </c>
      <c r="E172">
        <f>Journal!C175</f>
        <v/>
      </c>
    </row>
    <row r="173">
      <c r="D173">
        <f>Journal!A176</f>
        <v/>
      </c>
      <c r="E173">
        <f>Journal!C176</f>
        <v/>
      </c>
    </row>
    <row r="174">
      <c r="D174">
        <f>Journal!A177</f>
        <v/>
      </c>
      <c r="E174">
        <f>Journal!C177</f>
        <v/>
      </c>
    </row>
    <row r="175">
      <c r="D175">
        <f>Journal!A178</f>
        <v/>
      </c>
      <c r="E175">
        <f>Journal!C178</f>
        <v/>
      </c>
    </row>
    <row r="176">
      <c r="D176">
        <f>Journal!A179</f>
        <v/>
      </c>
      <c r="E176">
        <f>Journal!C179</f>
        <v/>
      </c>
    </row>
    <row r="177">
      <c r="D177">
        <f>Journal!A180</f>
        <v/>
      </c>
      <c r="E177">
        <f>Journal!C180</f>
        <v/>
      </c>
    </row>
    <row r="178">
      <c r="D178">
        <f>Journal!A181</f>
        <v/>
      </c>
      <c r="E178">
        <f>Journal!C181</f>
        <v/>
      </c>
    </row>
    <row r="179">
      <c r="D179">
        <f>Journal!A182</f>
        <v/>
      </c>
      <c r="E179">
        <f>Journal!C182</f>
        <v/>
      </c>
    </row>
    <row r="180">
      <c r="D180">
        <f>Journal!A183</f>
        <v/>
      </c>
      <c r="E180">
        <f>Journal!C183</f>
        <v/>
      </c>
    </row>
    <row r="181">
      <c r="D181">
        <f>Journal!A184</f>
        <v/>
      </c>
      <c r="E181">
        <f>Journal!C184</f>
        <v/>
      </c>
    </row>
    <row r="182">
      <c r="D182">
        <f>Journal!A185</f>
        <v/>
      </c>
      <c r="E182">
        <f>Journal!C185</f>
        <v/>
      </c>
    </row>
    <row r="183">
      <c r="D183">
        <f>Journal!A186</f>
        <v/>
      </c>
      <c r="E183">
        <f>Journal!C186</f>
        <v/>
      </c>
    </row>
    <row r="184">
      <c r="D184">
        <f>Journal!A187</f>
        <v/>
      </c>
      <c r="E184">
        <f>Journal!C187</f>
        <v/>
      </c>
    </row>
    <row r="185">
      <c r="D185">
        <f>Journal!A188</f>
        <v/>
      </c>
      <c r="E185">
        <f>Journal!C188</f>
        <v/>
      </c>
    </row>
    <row r="186">
      <c r="D186">
        <f>Journal!A189</f>
        <v/>
      </c>
      <c r="E186">
        <f>Journal!C189</f>
        <v/>
      </c>
    </row>
    <row r="187">
      <c r="D187">
        <f>Journal!A190</f>
        <v/>
      </c>
      <c r="E187">
        <f>Journal!C190</f>
        <v/>
      </c>
    </row>
    <row r="188">
      <c r="D188">
        <f>Journal!A191</f>
        <v/>
      </c>
      <c r="E188">
        <f>Journal!C191</f>
        <v/>
      </c>
    </row>
    <row r="189">
      <c r="D189">
        <f>Journal!A192</f>
        <v/>
      </c>
      <c r="E189">
        <f>Journal!C192</f>
        <v/>
      </c>
    </row>
    <row r="190">
      <c r="D190">
        <f>Journal!A193</f>
        <v/>
      </c>
      <c r="E190">
        <f>Journal!C193</f>
        <v/>
      </c>
    </row>
    <row r="191">
      <c r="D191">
        <f>Journal!A194</f>
        <v/>
      </c>
      <c r="E191">
        <f>Journal!C194</f>
        <v/>
      </c>
    </row>
    <row r="192">
      <c r="D192">
        <f>Journal!A195</f>
        <v/>
      </c>
      <c r="E192">
        <f>Journal!C195</f>
        <v/>
      </c>
    </row>
    <row r="193">
      <c r="D193">
        <f>Journal!A196</f>
        <v/>
      </c>
      <c r="E193">
        <f>Journal!C196</f>
        <v/>
      </c>
    </row>
    <row r="194">
      <c r="D194">
        <f>Journal!A197</f>
        <v/>
      </c>
      <c r="E194">
        <f>Journal!C197</f>
        <v/>
      </c>
    </row>
    <row r="195">
      <c r="D195">
        <f>Journal!A198</f>
        <v/>
      </c>
      <c r="E195">
        <f>Journal!C198</f>
        <v/>
      </c>
    </row>
    <row r="196">
      <c r="D196">
        <f>Journal!A199</f>
        <v/>
      </c>
      <c r="E196">
        <f>Journal!C199</f>
        <v/>
      </c>
    </row>
    <row r="197">
      <c r="D197">
        <f>Journal!A200</f>
        <v/>
      </c>
      <c r="E197">
        <f>Journal!C200</f>
        <v/>
      </c>
    </row>
    <row r="198">
      <c r="D198">
        <f>Journal!A201</f>
        <v/>
      </c>
      <c r="E198">
        <f>Journal!C201</f>
        <v/>
      </c>
    </row>
    <row r="199">
      <c r="D199">
        <f>Journal!A202</f>
        <v/>
      </c>
      <c r="E199">
        <f>Journal!C202</f>
        <v/>
      </c>
    </row>
    <row r="200">
      <c r="D200">
        <f>Journal!A203</f>
        <v/>
      </c>
      <c r="E200">
        <f>Journal!C203</f>
        <v/>
      </c>
    </row>
    <row r="201">
      <c r="D201">
        <f>Journal!A204</f>
        <v/>
      </c>
      <c r="E201">
        <f>Journal!C204</f>
        <v/>
      </c>
    </row>
    <row r="202">
      <c r="D202">
        <f>Journal!A205</f>
        <v/>
      </c>
      <c r="E202">
        <f>Journal!C205</f>
        <v/>
      </c>
    </row>
    <row r="203">
      <c r="D203">
        <f>Journal!A206</f>
        <v/>
      </c>
      <c r="E203">
        <f>Journal!C206</f>
        <v/>
      </c>
    </row>
    <row r="204">
      <c r="D204">
        <f>Journal!A207</f>
        <v/>
      </c>
      <c r="E204">
        <f>Journal!C207</f>
        <v/>
      </c>
    </row>
    <row r="205">
      <c r="D205">
        <f>Journal!A208</f>
        <v/>
      </c>
      <c r="E205">
        <f>Journal!C208</f>
        <v/>
      </c>
    </row>
    <row r="206">
      <c r="D206">
        <f>Journal!A209</f>
        <v/>
      </c>
      <c r="E206">
        <f>Journal!C209</f>
        <v/>
      </c>
    </row>
    <row r="207">
      <c r="D207">
        <f>Journal!A210</f>
        <v/>
      </c>
      <c r="E207">
        <f>Journal!C210</f>
        <v/>
      </c>
    </row>
    <row r="208">
      <c r="D208">
        <f>Journal!A211</f>
        <v/>
      </c>
      <c r="E208">
        <f>Journal!C211</f>
        <v/>
      </c>
    </row>
    <row r="209">
      <c r="D209">
        <f>Journal!A212</f>
        <v/>
      </c>
      <c r="E209">
        <f>Journal!C212</f>
        <v/>
      </c>
    </row>
    <row r="210">
      <c r="D210">
        <f>Journal!A213</f>
        <v/>
      </c>
      <c r="E210">
        <f>Journal!C213</f>
        <v/>
      </c>
    </row>
    <row r="211">
      <c r="D211">
        <f>Journal!A214</f>
        <v/>
      </c>
      <c r="E211">
        <f>Journal!C214</f>
        <v/>
      </c>
    </row>
    <row r="212">
      <c r="D212">
        <f>Journal!A215</f>
        <v/>
      </c>
      <c r="E212">
        <f>Journal!C215</f>
        <v/>
      </c>
    </row>
    <row r="213">
      <c r="D213">
        <f>Journal!A216</f>
        <v/>
      </c>
      <c r="E213">
        <f>Journal!C216</f>
        <v/>
      </c>
    </row>
    <row r="214">
      <c r="D214">
        <f>Journal!A217</f>
        <v/>
      </c>
      <c r="E214">
        <f>Journal!C217</f>
        <v/>
      </c>
    </row>
    <row r="215">
      <c r="D215">
        <f>Journal!A218</f>
        <v/>
      </c>
      <c r="E215">
        <f>Journal!C218</f>
        <v/>
      </c>
    </row>
    <row r="216">
      <c r="D216">
        <f>Journal!A219</f>
        <v/>
      </c>
      <c r="E216">
        <f>Journal!C219</f>
        <v/>
      </c>
    </row>
    <row r="217">
      <c r="D217">
        <f>Journal!A220</f>
        <v/>
      </c>
      <c r="E217">
        <f>Journal!C220</f>
        <v/>
      </c>
    </row>
    <row r="218">
      <c r="D218">
        <f>Journal!A221</f>
        <v/>
      </c>
      <c r="E218">
        <f>Journal!C221</f>
        <v/>
      </c>
    </row>
    <row r="219">
      <c r="D219">
        <f>Journal!A222</f>
        <v/>
      </c>
      <c r="E219">
        <f>Journal!C222</f>
        <v/>
      </c>
    </row>
    <row r="220">
      <c r="D220">
        <f>Journal!A223</f>
        <v/>
      </c>
      <c r="E220">
        <f>Journal!C223</f>
        <v/>
      </c>
    </row>
    <row r="221">
      <c r="D221">
        <f>Journal!A224</f>
        <v/>
      </c>
      <c r="E221">
        <f>Journal!C224</f>
        <v/>
      </c>
    </row>
    <row r="222">
      <c r="D222">
        <f>Journal!A225</f>
        <v/>
      </c>
      <c r="E222">
        <f>Journal!C225</f>
        <v/>
      </c>
    </row>
    <row r="223">
      <c r="D223">
        <f>Journal!A226</f>
        <v/>
      </c>
      <c r="E223">
        <f>Journal!C226</f>
        <v/>
      </c>
    </row>
    <row r="224">
      <c r="D224">
        <f>Journal!A227</f>
        <v/>
      </c>
      <c r="E224">
        <f>Journal!C227</f>
        <v/>
      </c>
    </row>
    <row r="225">
      <c r="D225">
        <f>Journal!A228</f>
        <v/>
      </c>
      <c r="E225">
        <f>Journal!C228</f>
        <v/>
      </c>
    </row>
    <row r="226">
      <c r="D226">
        <f>Journal!A229</f>
        <v/>
      </c>
      <c r="E226">
        <f>Journal!C229</f>
        <v/>
      </c>
    </row>
    <row r="227">
      <c r="D227">
        <f>Journal!A230</f>
        <v/>
      </c>
      <c r="E227">
        <f>Journal!C230</f>
        <v/>
      </c>
    </row>
    <row r="228">
      <c r="D228">
        <f>Journal!A231</f>
        <v/>
      </c>
      <c r="E228">
        <f>Journal!C231</f>
        <v/>
      </c>
    </row>
    <row r="229">
      <c r="D229">
        <f>Journal!A232</f>
        <v/>
      </c>
      <c r="E229">
        <f>Journal!C232</f>
        <v/>
      </c>
    </row>
    <row r="230">
      <c r="D230">
        <f>Journal!A233</f>
        <v/>
      </c>
      <c r="E230">
        <f>Journal!C233</f>
        <v/>
      </c>
    </row>
    <row r="231">
      <c r="D231">
        <f>Journal!A234</f>
        <v/>
      </c>
      <c r="E231">
        <f>Journal!C234</f>
        <v/>
      </c>
    </row>
    <row r="232">
      <c r="D232">
        <f>Journal!A235</f>
        <v/>
      </c>
      <c r="E232">
        <f>Journal!C235</f>
        <v/>
      </c>
    </row>
    <row r="233">
      <c r="D233">
        <f>Journal!A236</f>
        <v/>
      </c>
      <c r="E233">
        <f>Journal!C236</f>
        <v/>
      </c>
    </row>
    <row r="234">
      <c r="D234">
        <f>Journal!A237</f>
        <v/>
      </c>
      <c r="E234">
        <f>Journal!C237</f>
        <v/>
      </c>
    </row>
    <row r="235">
      <c r="D235">
        <f>Journal!A238</f>
        <v/>
      </c>
      <c r="E235">
        <f>Journal!C238</f>
        <v/>
      </c>
    </row>
    <row r="236">
      <c r="D236">
        <f>Journal!A239</f>
        <v/>
      </c>
      <c r="E236">
        <f>Journal!C239</f>
        <v/>
      </c>
    </row>
    <row r="237">
      <c r="D237">
        <f>Journal!A240</f>
        <v/>
      </c>
      <c r="E237">
        <f>Journal!C240</f>
        <v/>
      </c>
    </row>
    <row r="238">
      <c r="D238">
        <f>Journal!A241</f>
        <v/>
      </c>
      <c r="E238">
        <f>Journal!C241</f>
        <v/>
      </c>
    </row>
    <row r="239">
      <c r="D239">
        <f>Journal!A242</f>
        <v/>
      </c>
      <c r="E239">
        <f>Journal!C242</f>
        <v/>
      </c>
    </row>
    <row r="240">
      <c r="D240">
        <f>Journal!A243</f>
        <v/>
      </c>
      <c r="E240">
        <f>Journal!C243</f>
        <v/>
      </c>
    </row>
    <row r="241">
      <c r="D241">
        <f>Journal!A244</f>
        <v/>
      </c>
      <c r="E241">
        <f>Journal!C244</f>
        <v/>
      </c>
    </row>
    <row r="242">
      <c r="D242">
        <f>Journal!A245</f>
        <v/>
      </c>
      <c r="E242">
        <f>Journal!C245</f>
        <v/>
      </c>
    </row>
    <row r="243">
      <c r="D243">
        <f>Journal!A246</f>
        <v/>
      </c>
      <c r="E243">
        <f>Journal!C246</f>
        <v/>
      </c>
    </row>
    <row r="244">
      <c r="D244">
        <f>Journal!A247</f>
        <v/>
      </c>
      <c r="E244">
        <f>Journal!C247</f>
        <v/>
      </c>
    </row>
    <row r="245">
      <c r="D245">
        <f>Journal!A248</f>
        <v/>
      </c>
      <c r="E245">
        <f>Journal!C248</f>
        <v/>
      </c>
    </row>
    <row r="246">
      <c r="D246">
        <f>Journal!A249</f>
        <v/>
      </c>
      <c r="E246">
        <f>Journal!C249</f>
        <v/>
      </c>
    </row>
    <row r="247">
      <c r="D247">
        <f>Journal!A250</f>
        <v/>
      </c>
      <c r="E247">
        <f>Journal!C250</f>
        <v/>
      </c>
    </row>
    <row r="248">
      <c r="D248">
        <f>Journal!A251</f>
        <v/>
      </c>
      <c r="E248">
        <f>Journal!C251</f>
        <v/>
      </c>
    </row>
    <row r="249">
      <c r="D249">
        <f>Journal!A252</f>
        <v/>
      </c>
      <c r="E249">
        <f>Journal!C252</f>
        <v/>
      </c>
    </row>
    <row r="250">
      <c r="D250">
        <f>Journal!A253</f>
        <v/>
      </c>
      <c r="E250">
        <f>Journal!C253</f>
        <v/>
      </c>
    </row>
    <row r="251">
      <c r="D251">
        <f>Journal!A254</f>
        <v/>
      </c>
      <c r="E251">
        <f>Journal!C254</f>
        <v/>
      </c>
    </row>
    <row r="252">
      <c r="D252">
        <f>Journal!A255</f>
        <v/>
      </c>
      <c r="E252">
        <f>Journal!C255</f>
        <v/>
      </c>
    </row>
    <row r="253">
      <c r="D253">
        <f>Journal!A256</f>
        <v/>
      </c>
      <c r="E253">
        <f>Journal!C256</f>
        <v/>
      </c>
    </row>
    <row r="254">
      <c r="D254">
        <f>Journal!A257</f>
        <v/>
      </c>
      <c r="E254">
        <f>Journal!C257</f>
        <v/>
      </c>
    </row>
    <row r="255">
      <c r="D255">
        <f>Journal!A258</f>
        <v/>
      </c>
      <c r="E255">
        <f>Journal!C258</f>
        <v/>
      </c>
    </row>
    <row r="256">
      <c r="D256">
        <f>Journal!A259</f>
        <v/>
      </c>
      <c r="E256">
        <f>Journal!C259</f>
        <v/>
      </c>
    </row>
    <row r="257">
      <c r="D257">
        <f>Journal!A260</f>
        <v/>
      </c>
      <c r="E257">
        <f>Journal!C260</f>
        <v/>
      </c>
    </row>
    <row r="258">
      <c r="D258">
        <f>Journal!A261</f>
        <v/>
      </c>
      <c r="E258">
        <f>Journal!C261</f>
        <v/>
      </c>
    </row>
    <row r="259">
      <c r="D259">
        <f>Journal!A262</f>
        <v/>
      </c>
      <c r="E259">
        <f>Journal!C262</f>
        <v/>
      </c>
    </row>
    <row r="260">
      <c r="D260">
        <f>Journal!A263</f>
        <v/>
      </c>
      <c r="E260">
        <f>Journal!C263</f>
        <v/>
      </c>
    </row>
    <row r="261">
      <c r="D261">
        <f>Journal!A264</f>
        <v/>
      </c>
      <c r="E261">
        <f>Journal!C264</f>
        <v/>
      </c>
    </row>
    <row r="262">
      <c r="D262">
        <f>Journal!A265</f>
        <v/>
      </c>
      <c r="E262">
        <f>Journal!C265</f>
        <v/>
      </c>
    </row>
    <row r="263">
      <c r="D263">
        <f>Journal!A266</f>
        <v/>
      </c>
      <c r="E263">
        <f>Journal!C266</f>
        <v/>
      </c>
    </row>
    <row r="264">
      <c r="D264">
        <f>Journal!A267</f>
        <v/>
      </c>
      <c r="E264">
        <f>Journal!C267</f>
        <v/>
      </c>
    </row>
    <row r="265">
      <c r="D265">
        <f>Journal!A268</f>
        <v/>
      </c>
      <c r="E265">
        <f>Journal!C268</f>
        <v/>
      </c>
    </row>
    <row r="266">
      <c r="D266">
        <f>Journal!A269</f>
        <v/>
      </c>
      <c r="E266">
        <f>Journal!C269</f>
        <v/>
      </c>
    </row>
    <row r="267">
      <c r="D267">
        <f>Journal!A270</f>
        <v/>
      </c>
      <c r="E267">
        <f>Journal!C270</f>
        <v/>
      </c>
    </row>
    <row r="268">
      <c r="D268">
        <f>Journal!A271</f>
        <v/>
      </c>
      <c r="E268">
        <f>Journal!C271</f>
        <v/>
      </c>
    </row>
    <row r="269">
      <c r="D269">
        <f>Journal!A272</f>
        <v/>
      </c>
      <c r="E269">
        <f>Journal!C272</f>
        <v/>
      </c>
    </row>
    <row r="270">
      <c r="D270">
        <f>Journal!A273</f>
        <v/>
      </c>
      <c r="E270">
        <f>Journal!C273</f>
        <v/>
      </c>
    </row>
    <row r="271">
      <c r="D271">
        <f>Journal!A274</f>
        <v/>
      </c>
      <c r="E271">
        <f>Journal!C274</f>
        <v/>
      </c>
    </row>
    <row r="272">
      <c r="D272">
        <f>Journal!A275</f>
        <v/>
      </c>
      <c r="E272">
        <f>Journal!C275</f>
        <v/>
      </c>
    </row>
    <row r="273">
      <c r="D273">
        <f>Journal!A276</f>
        <v/>
      </c>
      <c r="E273">
        <f>Journal!C276</f>
        <v/>
      </c>
    </row>
    <row r="274">
      <c r="D274">
        <f>Journal!A277</f>
        <v/>
      </c>
      <c r="E274">
        <f>Journal!C277</f>
        <v/>
      </c>
    </row>
    <row r="275">
      <c r="D275">
        <f>Journal!A278</f>
        <v/>
      </c>
      <c r="E275">
        <f>Journal!C278</f>
        <v/>
      </c>
    </row>
    <row r="276">
      <c r="D276">
        <f>Journal!A279</f>
        <v/>
      </c>
      <c r="E276">
        <f>Journal!C279</f>
        <v/>
      </c>
    </row>
    <row r="277">
      <c r="D277">
        <f>Journal!A280</f>
        <v/>
      </c>
      <c r="E277">
        <f>Journal!C280</f>
        <v/>
      </c>
    </row>
    <row r="278">
      <c r="D278">
        <f>Journal!A281</f>
        <v/>
      </c>
      <c r="E278">
        <f>Journal!C281</f>
        <v/>
      </c>
    </row>
    <row r="279">
      <c r="D279">
        <f>Journal!A282</f>
        <v/>
      </c>
      <c r="E279">
        <f>Journal!C282</f>
        <v/>
      </c>
    </row>
    <row r="280">
      <c r="D280">
        <f>Journal!A283</f>
        <v/>
      </c>
      <c r="E280">
        <f>Journal!C283</f>
        <v/>
      </c>
    </row>
    <row r="281">
      <c r="D281">
        <f>Journal!A284</f>
        <v/>
      </c>
      <c r="E281">
        <f>Journal!C284</f>
        <v/>
      </c>
    </row>
    <row r="282">
      <c r="D282">
        <f>Journal!A285</f>
        <v/>
      </c>
      <c r="E282">
        <f>Journal!C285</f>
        <v/>
      </c>
    </row>
    <row r="283">
      <c r="D283">
        <f>Journal!A286</f>
        <v/>
      </c>
      <c r="E283">
        <f>Journal!C286</f>
        <v/>
      </c>
    </row>
    <row r="284">
      <c r="D284">
        <f>Journal!A287</f>
        <v/>
      </c>
      <c r="E284">
        <f>Journal!C287</f>
        <v/>
      </c>
    </row>
    <row r="285">
      <c r="D285">
        <f>Journal!A288</f>
        <v/>
      </c>
      <c r="E285">
        <f>Journal!C288</f>
        <v/>
      </c>
    </row>
    <row r="286">
      <c r="D286">
        <f>Journal!A289</f>
        <v/>
      </c>
      <c r="E286">
        <f>Journal!C289</f>
        <v/>
      </c>
    </row>
    <row r="287">
      <c r="D287">
        <f>Journal!A290</f>
        <v/>
      </c>
      <c r="E287">
        <f>Journal!C290</f>
        <v/>
      </c>
    </row>
    <row r="288">
      <c r="D288">
        <f>Journal!A291</f>
        <v/>
      </c>
      <c r="E288">
        <f>Journal!C291</f>
        <v/>
      </c>
    </row>
    <row r="289">
      <c r="D289">
        <f>Journal!A292</f>
        <v/>
      </c>
      <c r="E289">
        <f>Journal!C292</f>
        <v/>
      </c>
    </row>
    <row r="290">
      <c r="D290">
        <f>Journal!A293</f>
        <v/>
      </c>
      <c r="E290">
        <f>Journal!C293</f>
        <v/>
      </c>
    </row>
    <row r="291">
      <c r="D291">
        <f>Journal!A294</f>
        <v/>
      </c>
      <c r="E291">
        <f>Journal!C294</f>
        <v/>
      </c>
    </row>
    <row r="292">
      <c r="D292">
        <f>Journal!A295</f>
        <v/>
      </c>
      <c r="E292">
        <f>Journal!C295</f>
        <v/>
      </c>
    </row>
    <row r="293">
      <c r="D293">
        <f>Journal!A296</f>
        <v/>
      </c>
      <c r="E293">
        <f>Journal!C296</f>
        <v/>
      </c>
    </row>
    <row r="294">
      <c r="D294">
        <f>Journal!A297</f>
        <v/>
      </c>
      <c r="E294">
        <f>Journal!C297</f>
        <v/>
      </c>
    </row>
    <row r="295">
      <c r="D295">
        <f>Journal!A298</f>
        <v/>
      </c>
      <c r="E295">
        <f>Journal!C298</f>
        <v/>
      </c>
    </row>
    <row r="296">
      <c r="D296">
        <f>Journal!A299</f>
        <v/>
      </c>
      <c r="E296">
        <f>Journal!C299</f>
        <v/>
      </c>
    </row>
    <row r="297">
      <c r="D297">
        <f>Journal!A300</f>
        <v/>
      </c>
      <c r="E297">
        <f>Journal!C300</f>
        <v/>
      </c>
    </row>
    <row r="298">
      <c r="D298">
        <f>Journal!A301</f>
        <v/>
      </c>
      <c r="E298">
        <f>Journal!C301</f>
        <v/>
      </c>
    </row>
    <row r="299">
      <c r="D299">
        <f>Journal!A302</f>
        <v/>
      </c>
      <c r="E299">
        <f>Journal!C302</f>
        <v/>
      </c>
    </row>
    <row r="300">
      <c r="D300">
        <f>Journal!A303</f>
        <v/>
      </c>
      <c r="E300">
        <f>Journal!C303</f>
        <v/>
      </c>
    </row>
    <row r="301">
      <c r="D301">
        <f>Journal!A304</f>
        <v/>
      </c>
      <c r="E301">
        <f>Journal!C304</f>
        <v/>
      </c>
    </row>
    <row r="302">
      <c r="D302">
        <f>Journal!A305</f>
        <v/>
      </c>
      <c r="E302">
        <f>Journal!C305</f>
        <v/>
      </c>
    </row>
    <row r="303">
      <c r="D303">
        <f>Journal!A306</f>
        <v/>
      </c>
      <c r="E303">
        <f>Journal!C306</f>
        <v/>
      </c>
    </row>
    <row r="304">
      <c r="D304">
        <f>Journal!A307</f>
        <v/>
      </c>
      <c r="E304">
        <f>Journal!C307</f>
        <v/>
      </c>
    </row>
    <row r="305">
      <c r="D305">
        <f>Journal!A308</f>
        <v/>
      </c>
      <c r="E305">
        <f>Journal!C308</f>
        <v/>
      </c>
    </row>
    <row r="306">
      <c r="D306">
        <f>Journal!A309</f>
        <v/>
      </c>
      <c r="E306">
        <f>Journal!C309</f>
        <v/>
      </c>
    </row>
    <row r="307">
      <c r="D307">
        <f>Journal!A310</f>
        <v/>
      </c>
      <c r="E307">
        <f>Journal!C310</f>
        <v/>
      </c>
    </row>
    <row r="308">
      <c r="D308">
        <f>Journal!A311</f>
        <v/>
      </c>
      <c r="E308">
        <f>Journal!C311</f>
        <v/>
      </c>
    </row>
    <row r="309">
      <c r="D309">
        <f>Journal!A312</f>
        <v/>
      </c>
      <c r="E309">
        <f>Journal!C312</f>
        <v/>
      </c>
    </row>
    <row r="310">
      <c r="D310">
        <f>Journal!A313</f>
        <v/>
      </c>
      <c r="E310">
        <f>Journal!C313</f>
        <v/>
      </c>
    </row>
    <row r="311">
      <c r="D311">
        <f>Journal!A314</f>
        <v/>
      </c>
      <c r="E311">
        <f>Journal!C314</f>
        <v/>
      </c>
    </row>
    <row r="312">
      <c r="D312">
        <f>Journal!A315</f>
        <v/>
      </c>
      <c r="E312">
        <f>Journal!C315</f>
        <v/>
      </c>
    </row>
    <row r="313">
      <c r="D313">
        <f>Journal!A316</f>
        <v/>
      </c>
      <c r="E313">
        <f>Journal!C316</f>
        <v/>
      </c>
    </row>
    <row r="314">
      <c r="D314">
        <f>Journal!A317</f>
        <v/>
      </c>
      <c r="E314">
        <f>Journal!C317</f>
        <v/>
      </c>
    </row>
    <row r="315">
      <c r="D315">
        <f>Journal!A318</f>
        <v/>
      </c>
      <c r="E315">
        <f>Journal!C318</f>
        <v/>
      </c>
    </row>
    <row r="316">
      <c r="D316">
        <f>Journal!A319</f>
        <v/>
      </c>
      <c r="E316">
        <f>Journal!C319</f>
        <v/>
      </c>
    </row>
    <row r="317">
      <c r="D317">
        <f>Journal!A320</f>
        <v/>
      </c>
      <c r="E317">
        <f>Journal!C320</f>
        <v/>
      </c>
    </row>
    <row r="318">
      <c r="D318">
        <f>Journal!A321</f>
        <v/>
      </c>
      <c r="E318">
        <f>Journal!C321</f>
        <v/>
      </c>
    </row>
    <row r="319">
      <c r="D319">
        <f>Journal!A322</f>
        <v/>
      </c>
      <c r="E319">
        <f>Journal!C322</f>
        <v/>
      </c>
    </row>
    <row r="320">
      <c r="D320">
        <f>Journal!A323</f>
        <v/>
      </c>
      <c r="E320">
        <f>Journal!C323</f>
        <v/>
      </c>
    </row>
    <row r="321">
      <c r="D321">
        <f>Journal!A324</f>
        <v/>
      </c>
      <c r="E321">
        <f>Journal!C324</f>
        <v/>
      </c>
    </row>
    <row r="322">
      <c r="D322">
        <f>Journal!A325</f>
        <v/>
      </c>
      <c r="E322">
        <f>Journal!C325</f>
        <v/>
      </c>
    </row>
    <row r="323">
      <c r="D323">
        <f>Journal!A326</f>
        <v/>
      </c>
      <c r="E323">
        <f>Journal!C326</f>
        <v/>
      </c>
    </row>
    <row r="324">
      <c r="D324">
        <f>Journal!A327</f>
        <v/>
      </c>
      <c r="E324">
        <f>Journal!C327</f>
        <v/>
      </c>
    </row>
    <row r="325">
      <c r="D325">
        <f>Journal!A328</f>
        <v/>
      </c>
      <c r="E325">
        <f>Journal!C328</f>
        <v/>
      </c>
    </row>
    <row r="326">
      <c r="D326">
        <f>Journal!A329</f>
        <v/>
      </c>
      <c r="E326">
        <f>Journal!C329</f>
        <v/>
      </c>
    </row>
    <row r="327">
      <c r="D327">
        <f>Journal!A330</f>
        <v/>
      </c>
      <c r="E327">
        <f>Journal!C330</f>
        <v/>
      </c>
    </row>
    <row r="328">
      <c r="D328">
        <f>Journal!A331</f>
        <v/>
      </c>
      <c r="E328">
        <f>Journal!C331</f>
        <v/>
      </c>
    </row>
    <row r="329">
      <c r="D329">
        <f>Journal!A332</f>
        <v/>
      </c>
      <c r="E329">
        <f>Journal!C332</f>
        <v/>
      </c>
    </row>
    <row r="330">
      <c r="D330">
        <f>Journal!A333</f>
        <v/>
      </c>
      <c r="E330">
        <f>Journal!C333</f>
        <v/>
      </c>
    </row>
    <row r="331">
      <c r="D331">
        <f>Journal!A334</f>
        <v/>
      </c>
      <c r="E331">
        <f>Journal!C334</f>
        <v/>
      </c>
    </row>
    <row r="332">
      <c r="D332">
        <f>Journal!A335</f>
        <v/>
      </c>
      <c r="E332">
        <f>Journal!C335</f>
        <v/>
      </c>
    </row>
    <row r="333">
      <c r="D333">
        <f>Journal!A336</f>
        <v/>
      </c>
      <c r="E333">
        <f>Journal!C336</f>
        <v/>
      </c>
    </row>
    <row r="334">
      <c r="D334">
        <f>Journal!A337</f>
        <v/>
      </c>
      <c r="E334">
        <f>Journal!C337</f>
        <v/>
      </c>
    </row>
    <row r="335">
      <c r="D335">
        <f>Journal!A338</f>
        <v/>
      </c>
      <c r="E335">
        <f>Journal!C338</f>
        <v/>
      </c>
    </row>
    <row r="336">
      <c r="D336">
        <f>Journal!A339</f>
        <v/>
      </c>
      <c r="E336">
        <f>Journal!C339</f>
        <v/>
      </c>
    </row>
    <row r="337">
      <c r="D337">
        <f>Journal!A340</f>
        <v/>
      </c>
      <c r="E337">
        <f>Journal!C340</f>
        <v/>
      </c>
    </row>
    <row r="338">
      <c r="D338">
        <f>Journal!A341</f>
        <v/>
      </c>
      <c r="E338">
        <f>Journal!C341</f>
        <v/>
      </c>
    </row>
    <row r="339">
      <c r="D339">
        <f>Journal!A342</f>
        <v/>
      </c>
      <c r="E339">
        <f>Journal!C342</f>
        <v/>
      </c>
    </row>
    <row r="340">
      <c r="D340">
        <f>Journal!A343</f>
        <v/>
      </c>
      <c r="E340">
        <f>Journal!C343</f>
        <v/>
      </c>
    </row>
    <row r="341">
      <c r="D341">
        <f>Journal!A344</f>
        <v/>
      </c>
      <c r="E341">
        <f>Journal!C344</f>
        <v/>
      </c>
    </row>
    <row r="342">
      <c r="D342">
        <f>Journal!A345</f>
        <v/>
      </c>
      <c r="E342">
        <f>Journal!C345</f>
        <v/>
      </c>
    </row>
    <row r="343">
      <c r="D343">
        <f>Journal!A346</f>
        <v/>
      </c>
      <c r="E343">
        <f>Journal!C346</f>
        <v/>
      </c>
    </row>
    <row r="344">
      <c r="D344">
        <f>Journal!A347</f>
        <v/>
      </c>
      <c r="E344">
        <f>Journal!C347</f>
        <v/>
      </c>
    </row>
    <row r="345">
      <c r="D345">
        <f>Journal!A348</f>
        <v/>
      </c>
      <c r="E345">
        <f>Journal!C348</f>
        <v/>
      </c>
    </row>
    <row r="346">
      <c r="D346">
        <f>Journal!A349</f>
        <v/>
      </c>
      <c r="E346">
        <f>Journal!C349</f>
        <v/>
      </c>
    </row>
    <row r="347">
      <c r="D347">
        <f>Journal!A350</f>
        <v/>
      </c>
      <c r="E347">
        <f>Journal!C350</f>
        <v/>
      </c>
    </row>
    <row r="348">
      <c r="D348">
        <f>Journal!A351</f>
        <v/>
      </c>
      <c r="E348">
        <f>Journal!C351</f>
        <v/>
      </c>
    </row>
    <row r="349">
      <c r="D349">
        <f>Journal!A352</f>
        <v/>
      </c>
      <c r="E349">
        <f>Journal!C352</f>
        <v/>
      </c>
    </row>
    <row r="350">
      <c r="D350">
        <f>Journal!A353</f>
        <v/>
      </c>
      <c r="E350">
        <f>Journal!C353</f>
        <v/>
      </c>
    </row>
    <row r="351">
      <c r="D351">
        <f>Journal!A354</f>
        <v/>
      </c>
      <c r="E351">
        <f>Journal!C354</f>
        <v/>
      </c>
    </row>
    <row r="352">
      <c r="D352">
        <f>Journal!A355</f>
        <v/>
      </c>
      <c r="E352">
        <f>Journal!C355</f>
        <v/>
      </c>
    </row>
    <row r="353">
      <c r="D353">
        <f>Journal!A356</f>
        <v/>
      </c>
      <c r="E353">
        <f>Journal!C356</f>
        <v/>
      </c>
    </row>
    <row r="354">
      <c r="D354">
        <f>Journal!A357</f>
        <v/>
      </c>
      <c r="E354">
        <f>Journal!C357</f>
        <v/>
      </c>
    </row>
    <row r="355">
      <c r="D355">
        <f>Journal!A358</f>
        <v/>
      </c>
      <c r="E355">
        <f>Journal!C358</f>
        <v/>
      </c>
    </row>
    <row r="356">
      <c r="D356">
        <f>Journal!A359</f>
        <v/>
      </c>
      <c r="E356">
        <f>Journal!C359</f>
        <v/>
      </c>
    </row>
    <row r="357">
      <c r="D357">
        <f>Journal!A360</f>
        <v/>
      </c>
      <c r="E357">
        <f>Journal!C360</f>
        <v/>
      </c>
    </row>
    <row r="358">
      <c r="D358">
        <f>Journal!A361</f>
        <v/>
      </c>
      <c r="E358">
        <f>Journal!C361</f>
        <v/>
      </c>
    </row>
    <row r="359">
      <c r="D359">
        <f>Journal!A362</f>
        <v/>
      </c>
      <c r="E359">
        <f>Journal!C362</f>
        <v/>
      </c>
    </row>
    <row r="360">
      <c r="D360">
        <f>Journal!A363</f>
        <v/>
      </c>
      <c r="E360">
        <f>Journal!C363</f>
        <v/>
      </c>
    </row>
    <row r="361">
      <c r="D361">
        <f>Journal!A364</f>
        <v/>
      </c>
      <c r="E361">
        <f>Journal!C364</f>
        <v/>
      </c>
    </row>
    <row r="362">
      <c r="D362">
        <f>Journal!A365</f>
        <v/>
      </c>
      <c r="E362">
        <f>Journal!C365</f>
        <v/>
      </c>
    </row>
    <row r="363">
      <c r="D363">
        <f>Journal!A366</f>
        <v/>
      </c>
      <c r="E363">
        <f>Journal!C366</f>
        <v/>
      </c>
    </row>
    <row r="364">
      <c r="D364">
        <f>Journal!A367</f>
        <v/>
      </c>
      <c r="E364">
        <f>Journal!C367</f>
        <v/>
      </c>
    </row>
    <row r="365">
      <c r="D365">
        <f>Journal!A368</f>
        <v/>
      </c>
      <c r="E365">
        <f>Journal!C368</f>
        <v/>
      </c>
    </row>
    <row r="366">
      <c r="D366">
        <f>Journal!A369</f>
        <v/>
      </c>
      <c r="E366">
        <f>Journal!C369</f>
        <v/>
      </c>
    </row>
    <row r="367">
      <c r="D367">
        <f>Journal!A370</f>
        <v/>
      </c>
      <c r="E367">
        <f>Journal!C370</f>
        <v/>
      </c>
    </row>
    <row r="368">
      <c r="D368">
        <f>Journal!A371</f>
        <v/>
      </c>
      <c r="E368">
        <f>Journal!C371</f>
        <v/>
      </c>
    </row>
    <row r="369">
      <c r="D369">
        <f>Journal!A372</f>
        <v/>
      </c>
      <c r="E369">
        <f>Journal!C372</f>
        <v/>
      </c>
    </row>
    <row r="370">
      <c r="D370">
        <f>Journal!A373</f>
        <v/>
      </c>
      <c r="E370">
        <f>Journal!C373</f>
        <v/>
      </c>
    </row>
    <row r="371">
      <c r="D371">
        <f>Journal!A374</f>
        <v/>
      </c>
      <c r="E371">
        <f>Journal!C374</f>
        <v/>
      </c>
    </row>
    <row r="372">
      <c r="D372">
        <f>Journal!A375</f>
        <v/>
      </c>
      <c r="E372">
        <f>Journal!C375</f>
        <v/>
      </c>
    </row>
    <row r="373">
      <c r="D373">
        <f>Journal!A376</f>
        <v/>
      </c>
      <c r="E373">
        <f>Journal!C376</f>
        <v/>
      </c>
    </row>
    <row r="374">
      <c r="D374">
        <f>Journal!A377</f>
        <v/>
      </c>
      <c r="E374">
        <f>Journal!C377</f>
        <v/>
      </c>
    </row>
    <row r="375">
      <c r="D375">
        <f>Journal!A378</f>
        <v/>
      </c>
      <c r="E375">
        <f>Journal!C378</f>
        <v/>
      </c>
    </row>
    <row r="376">
      <c r="D376">
        <f>Journal!A379</f>
        <v/>
      </c>
      <c r="E376">
        <f>Journal!C379</f>
        <v/>
      </c>
    </row>
    <row r="377">
      <c r="D377">
        <f>Journal!A380</f>
        <v/>
      </c>
      <c r="E377">
        <f>Journal!C380</f>
        <v/>
      </c>
    </row>
    <row r="378">
      <c r="D378">
        <f>Journal!A381</f>
        <v/>
      </c>
      <c r="E378">
        <f>Journal!C381</f>
        <v/>
      </c>
    </row>
    <row r="379">
      <c r="D379">
        <f>Journal!A382</f>
        <v/>
      </c>
      <c r="E379">
        <f>Journal!C382</f>
        <v/>
      </c>
    </row>
    <row r="380">
      <c r="D380">
        <f>Journal!A383</f>
        <v/>
      </c>
      <c r="E380">
        <f>Journal!C383</f>
        <v/>
      </c>
    </row>
    <row r="381">
      <c r="D381">
        <f>Journal!A384</f>
        <v/>
      </c>
      <c r="E381">
        <f>Journal!C384</f>
        <v/>
      </c>
    </row>
    <row r="382">
      <c r="D382">
        <f>Journal!A385</f>
        <v/>
      </c>
      <c r="E382">
        <f>Journal!C385</f>
        <v/>
      </c>
    </row>
    <row r="383">
      <c r="D383">
        <f>Journal!A386</f>
        <v/>
      </c>
      <c r="E383">
        <f>Journal!C386</f>
        <v/>
      </c>
    </row>
    <row r="384">
      <c r="D384">
        <f>Journal!A387</f>
        <v/>
      </c>
      <c r="E384">
        <f>Journal!C387</f>
        <v/>
      </c>
    </row>
    <row r="385">
      <c r="D385">
        <f>Journal!A388</f>
        <v/>
      </c>
      <c r="E385">
        <f>Journal!C388</f>
        <v/>
      </c>
    </row>
    <row r="386">
      <c r="D386">
        <f>Journal!A389</f>
        <v/>
      </c>
      <c r="E386">
        <f>Journal!C389</f>
        <v/>
      </c>
    </row>
    <row r="387">
      <c r="D387">
        <f>Journal!A390</f>
        <v/>
      </c>
      <c r="E387">
        <f>Journal!C390</f>
        <v/>
      </c>
    </row>
    <row r="388">
      <c r="D388">
        <f>Journal!A391</f>
        <v/>
      </c>
      <c r="E388">
        <f>Journal!C391</f>
        <v/>
      </c>
    </row>
    <row r="389">
      <c r="D389">
        <f>Journal!A392</f>
        <v/>
      </c>
      <c r="E389">
        <f>Journal!C392</f>
        <v/>
      </c>
    </row>
    <row r="390">
      <c r="D390">
        <f>Journal!A393</f>
        <v/>
      </c>
      <c r="E390">
        <f>Journal!C393</f>
        <v/>
      </c>
    </row>
    <row r="391">
      <c r="D391">
        <f>Journal!A394</f>
        <v/>
      </c>
      <c r="E391">
        <f>Journal!C394</f>
        <v/>
      </c>
    </row>
    <row r="392">
      <c r="D392">
        <f>Journal!A395</f>
        <v/>
      </c>
      <c r="E392">
        <f>Journal!C395</f>
        <v/>
      </c>
    </row>
    <row r="393">
      <c r="D393">
        <f>Journal!A396</f>
        <v/>
      </c>
      <c r="E393">
        <f>Journal!C396</f>
        <v/>
      </c>
    </row>
    <row r="394">
      <c r="D394">
        <f>Journal!A397</f>
        <v/>
      </c>
      <c r="E394">
        <f>Journal!C397</f>
        <v/>
      </c>
    </row>
    <row r="395">
      <c r="D395">
        <f>Journal!A398</f>
        <v/>
      </c>
      <c r="E395">
        <f>Journal!C398</f>
        <v/>
      </c>
    </row>
    <row r="396">
      <c r="D396">
        <f>Journal!A399</f>
        <v/>
      </c>
      <c r="E396">
        <f>Journal!C399</f>
        <v/>
      </c>
    </row>
    <row r="397">
      <c r="D397">
        <f>Journal!A400</f>
        <v/>
      </c>
      <c r="E397">
        <f>Journal!C400</f>
        <v/>
      </c>
    </row>
    <row r="398">
      <c r="D398">
        <f>Journal!A401</f>
        <v/>
      </c>
      <c r="E398">
        <f>Journal!C401</f>
        <v/>
      </c>
    </row>
    <row r="399">
      <c r="D399">
        <f>Journal!A402</f>
        <v/>
      </c>
      <c r="E399">
        <f>Journal!C402</f>
        <v/>
      </c>
    </row>
    <row r="400">
      <c r="D400">
        <f>Journal!A403</f>
        <v/>
      </c>
      <c r="E400">
        <f>Journal!C403</f>
        <v/>
      </c>
    </row>
    <row r="401">
      <c r="D401">
        <f>Journal!A404</f>
        <v/>
      </c>
      <c r="E401">
        <f>Journal!C404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2026-03-17T04:19:09Z</dcterms:created>
  <dcterms:modified xmlns:dcterms="http://purl.org/dc/terms/" xmlns:xsi="http://www.w3.org/2001/XMLSchema-instance" xsi:type="dcterms:W3CDTF">2026-03-17T04:19:09Z</dcterms:modified>
</cp:coreProperties>
</file>